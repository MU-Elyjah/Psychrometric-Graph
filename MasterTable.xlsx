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alhallaengineering-my.sharepoint.com/personal/etoledo_valhallaengineering_com/Documents/Documents/Psychrometric Data/"/>
    </mc:Choice>
  </mc:AlternateContent>
  <xr:revisionPtr revIDLastSave="694" documentId="8_{A20AE306-C09B-4757-A97E-1A860059D106}" xr6:coauthVersionLast="47" xr6:coauthVersionMax="47" xr10:uidLastSave="{BD41132E-8D55-4408-A7FA-CE6B98E4FC94}"/>
  <bookViews>
    <workbookView xWindow="28680" yWindow="-120" windowWidth="29040" windowHeight="15720" xr2:uid="{00000000-000D-0000-FFFF-FFFF00000000}"/>
  </bookViews>
  <sheets>
    <sheet name="Master Lookup" sheetId="6" r:id="rId1"/>
    <sheet name="Relative Humidity Table " sheetId="1" r:id="rId2"/>
    <sheet name="Enthalpy Table" sheetId="2" r:id="rId3"/>
    <sheet name="Specific Volume Table" sheetId="4" r:id="rId4"/>
    <sheet name="Wet Bulb Tab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2" l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D1" i="2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C1" i="2"/>
  <c r="C15" i="6"/>
  <c r="C3" i="6"/>
  <c r="E1" i="6" s="1" a="1"/>
  <c r="E1" i="6" s="1"/>
  <c r="F13" i="6" a="1"/>
  <c r="F13" i="6" s="1"/>
  <c r="E13" i="6" a="1"/>
  <c r="E13" i="6" s="1"/>
  <c r="E1" i="1"/>
  <c r="F1" i="1" s="1"/>
  <c r="D1" i="1"/>
  <c r="C14" i="6"/>
  <c r="F15" i="6" s="1" a="1"/>
  <c r="F15" i="6" s="1"/>
  <c r="C2" i="6"/>
  <c r="D1" i="5"/>
  <c r="E1" i="5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C1" i="5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D1" i="4"/>
  <c r="E1" i="4"/>
  <c r="F1" i="4"/>
  <c r="G1" i="4"/>
  <c r="H1" i="4"/>
  <c r="I1" i="4" s="1"/>
  <c r="J1" i="4" s="1"/>
  <c r="K1" i="4" s="1"/>
  <c r="L1" i="4" s="1"/>
  <c r="M1" i="4" s="1"/>
  <c r="N1" i="4" s="1"/>
  <c r="O1" i="4" s="1"/>
  <c r="C1" i="4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E14" i="6" l="1" a="1"/>
  <c r="E14" i="6" s="1"/>
  <c r="F14" i="6" a="1"/>
  <c r="F14" i="6" s="1"/>
  <c r="E15" i="6" a="1"/>
  <c r="E15" i="6" s="1"/>
  <c r="E2" i="6" a="1"/>
  <c r="E2" i="6" s="1"/>
  <c r="E3" i="6" a="1"/>
  <c r="E3" i="6" s="1"/>
  <c r="F3" i="6" a="1"/>
  <c r="F3" i="6" s="1"/>
  <c r="F2" i="6" a="1"/>
  <c r="F2" i="6" s="1"/>
  <c r="F1" i="6" a="1"/>
  <c r="F1" i="6" s="1"/>
  <c r="D2" i="6" a="1"/>
  <c r="D2" i="6" s="1"/>
  <c r="D7" i="6" s="1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D3" i="6" a="1"/>
  <c r="D3" i="6" s="1"/>
  <c r="D8" i="6" s="1"/>
  <c r="D14" i="6" a="1"/>
  <c r="D14" i="6" s="1"/>
  <c r="D19" i="6" s="1"/>
  <c r="D15" i="6" a="1"/>
  <c r="D15" i="6" s="1"/>
  <c r="D20" i="6" s="1"/>
  <c r="E16" i="6" l="1"/>
  <c r="F16" i="6"/>
  <c r="H15" i="6" l="1"/>
  <c r="F4" i="6"/>
  <c r="C20" i="6" l="1"/>
  <c r="C19" i="6"/>
  <c r="E4" i="6"/>
  <c r="H3" i="6" s="1"/>
  <c r="F19" i="6" l="1" a="1"/>
  <c r="F19" i="6" s="1"/>
  <c r="E20" i="6" a="1"/>
  <c r="E20" i="6" s="1"/>
  <c r="E19" i="6" a="1"/>
  <c r="E19" i="6" s="1"/>
  <c r="E18" i="6" a="1"/>
  <c r="E18" i="6" s="1"/>
  <c r="F18" i="6" a="1"/>
  <c r="F18" i="6" s="1"/>
  <c r="F20" i="6" a="1"/>
  <c r="F20" i="6" s="1"/>
  <c r="C8" i="6"/>
  <c r="C7" i="6"/>
  <c r="E21" i="6" l="1"/>
  <c r="F21" i="6"/>
  <c r="G15" i="6" s="1"/>
  <c r="F8" i="6" a="1"/>
  <c r="F8" i="6" s="1"/>
  <c r="E8" i="6" a="1"/>
  <c r="E8" i="6" s="1"/>
  <c r="E7" i="6" a="1"/>
  <c r="E7" i="6" s="1"/>
  <c r="E6" i="6" a="1"/>
  <c r="E6" i="6" s="1"/>
  <c r="F7" i="6" a="1"/>
  <c r="F7" i="6" s="1"/>
  <c r="F6" i="6" a="1"/>
  <c r="F6" i="6" s="1"/>
  <c r="F9" i="6" l="1"/>
  <c r="E9" i="6"/>
  <c r="G3" i="6" l="1"/>
  <c r="G2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<sst xmlns="http://schemas.openxmlformats.org/spreadsheetml/2006/main" count="48" uniqueCount="31">
  <si>
    <t>[F]</t>
  </si>
  <si>
    <t>[Ft^3/LB]</t>
  </si>
  <si>
    <t>[BTU/LBA]</t>
  </si>
  <si>
    <t>[%]</t>
  </si>
  <si>
    <t xml:space="preserve">TDB </t>
  </si>
  <si>
    <t>HUMIDITY RATIO</t>
  </si>
  <si>
    <t>SPECIFIC VOLUME</t>
  </si>
  <si>
    <t>WET BULB</t>
  </si>
  <si>
    <t>HUM RATIO 1st LIN.</t>
  </si>
  <si>
    <t>HUM RATIO 1ST LIN.</t>
  </si>
  <si>
    <t>State 1:</t>
  </si>
  <si>
    <t>State 2:</t>
  </si>
  <si>
    <t>SPECIFIC ENTHALPY</t>
  </si>
  <si>
    <t>TDB [F]</t>
  </si>
  <si>
    <t>[Grains/lbda]</t>
  </si>
  <si>
    <t>RH [%]</t>
  </si>
  <si>
    <t>[ft^3/lbda]</t>
  </si>
  <si>
    <t>[BTU/lbda]</t>
  </si>
  <si>
    <t>SPECIFIC ENTHALPY DIFF</t>
  </si>
  <si>
    <t>COOLING EXAMPLE</t>
  </si>
  <si>
    <t>Percent Diff on moisture values in comparision to texas a and m</t>
  </si>
  <si>
    <t>Percent Diff on Enthalpy values in comparision to texas a and m</t>
  </si>
  <si>
    <t>90db 40%</t>
  </si>
  <si>
    <t>90db 30%</t>
  </si>
  <si>
    <t>90db 50%</t>
  </si>
  <si>
    <t>90db 100%</t>
  </si>
  <si>
    <t>90db 60%</t>
  </si>
  <si>
    <t>40db 100%</t>
  </si>
  <si>
    <t>40db 50%</t>
  </si>
  <si>
    <t>*Tabulated data is off  by &lt;10% from texas A and M use wisely*</t>
  </si>
  <si>
    <t>*Code is correct tabulated data is slightly off*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</si>
</sst>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2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/>
    <xf numFmtId="0" fontId="2" fillId="0" borderId="0" xfId="0" applyFont="1"/>
    <xf numFmtId="0" fontId="2" fillId="0" borderId="1" xfId="0" applyFont="1" applyBorder="1"/>
    <xf numFmtId="2" fontId="2" fillId="4" borderId="1" xfId="0" applyNumberFormat="1" applyFont="1" applyFill="1" applyBorder="1"/>
    <xf numFmtId="2" fontId="2" fillId="3" borderId="1" xfId="0" applyNumberFormat="1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0" fillId="0" borderId="0" xfId="0" applyFill="1" applyBorder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Psychrometric</a:t>
            </a:r>
            <a:r>
              <a:rPr lang="en-US" baseline="0"/>
              <a:t> Graph, Z = 0 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31E-2"/>
          <c:y val="0.16245370370370371"/>
          <c:w val="0.87119685039370076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100% Sat Line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'Relative Humidity Table '!$A$2:$A$51</c:f>
              <c:numCache>
                <c:formatCode>General</c:formatCode>
                <c:ptCount val="50"/>
                <c:pt idx="0">
                  <c:v>31.8</c:v>
                </c:pt>
                <c:pt idx="1">
                  <c:v>33.6</c:v>
                </c:pt>
                <c:pt idx="2">
                  <c:v>35.4</c:v>
                </c:pt>
                <c:pt idx="3">
                  <c:v>37.199999999999996</c:v>
                </c:pt>
                <c:pt idx="4">
                  <c:v>38.999999999999993</c:v>
                </c:pt>
                <c:pt idx="5">
                  <c:v>40.79999999999999</c:v>
                </c:pt>
                <c:pt idx="6">
                  <c:v>42.599999999999987</c:v>
                </c:pt>
                <c:pt idx="7">
                  <c:v>44.399999999999984</c:v>
                </c:pt>
                <c:pt idx="8">
                  <c:v>46.199999999999982</c:v>
                </c:pt>
                <c:pt idx="9">
                  <c:v>47.999999999999979</c:v>
                </c:pt>
                <c:pt idx="10">
                  <c:v>49.799999999999976</c:v>
                </c:pt>
                <c:pt idx="11">
                  <c:v>51.599999999999973</c:v>
                </c:pt>
                <c:pt idx="12">
                  <c:v>53.39999999999997</c:v>
                </c:pt>
                <c:pt idx="13">
                  <c:v>55.199999999999967</c:v>
                </c:pt>
                <c:pt idx="14">
                  <c:v>56.999999999999964</c:v>
                </c:pt>
                <c:pt idx="15">
                  <c:v>58.799999999999962</c:v>
                </c:pt>
                <c:pt idx="16">
                  <c:v>60.599999999999959</c:v>
                </c:pt>
                <c:pt idx="17">
                  <c:v>62.399999999999956</c:v>
                </c:pt>
                <c:pt idx="18">
                  <c:v>64.19999999999996</c:v>
                </c:pt>
                <c:pt idx="19">
                  <c:v>65.999999999999957</c:v>
                </c:pt>
                <c:pt idx="20">
                  <c:v>67.799999999999955</c:v>
                </c:pt>
                <c:pt idx="21">
                  <c:v>69.599999999999952</c:v>
                </c:pt>
                <c:pt idx="22">
                  <c:v>71.399999999999949</c:v>
                </c:pt>
                <c:pt idx="23">
                  <c:v>73.199999999999946</c:v>
                </c:pt>
                <c:pt idx="24">
                  <c:v>74.999999999999943</c:v>
                </c:pt>
                <c:pt idx="25">
                  <c:v>76.79999999999994</c:v>
                </c:pt>
                <c:pt idx="26">
                  <c:v>78.599999999999937</c:v>
                </c:pt>
                <c:pt idx="27">
                  <c:v>80.399999999999935</c:v>
                </c:pt>
                <c:pt idx="28">
                  <c:v>82.199999999999932</c:v>
                </c:pt>
                <c:pt idx="29">
                  <c:v>83.999999999999929</c:v>
                </c:pt>
                <c:pt idx="30">
                  <c:v>85.799999999999926</c:v>
                </c:pt>
                <c:pt idx="31">
                  <c:v>87.599999999999923</c:v>
                </c:pt>
                <c:pt idx="32">
                  <c:v>89.39999999999992</c:v>
                </c:pt>
                <c:pt idx="33">
                  <c:v>91.199999999999918</c:v>
                </c:pt>
                <c:pt idx="34">
                  <c:v>92.999999999999915</c:v>
                </c:pt>
                <c:pt idx="35">
                  <c:v>94.799999999999912</c:v>
                </c:pt>
                <c:pt idx="36">
                  <c:v>96.599999999999909</c:v>
                </c:pt>
                <c:pt idx="37">
                  <c:v>98.399999999999906</c:v>
                </c:pt>
                <c:pt idx="38">
                  <c:v>100.1999999999999</c:v>
                </c:pt>
                <c:pt idx="39">
                  <c:v>101.9999999999999</c:v>
                </c:pt>
                <c:pt idx="40">
                  <c:v>103.7999999999999</c:v>
                </c:pt>
                <c:pt idx="41">
                  <c:v>105.59999999999989</c:v>
                </c:pt>
                <c:pt idx="42">
                  <c:v>107.39999999999989</c:v>
                </c:pt>
                <c:pt idx="43">
                  <c:v>109.19999999999989</c:v>
                </c:pt>
                <c:pt idx="44">
                  <c:v>110.99999999999989</c:v>
                </c:pt>
                <c:pt idx="45">
                  <c:v>112.79999999999988</c:v>
                </c:pt>
                <c:pt idx="46">
                  <c:v>114.59999999999988</c:v>
                </c:pt>
                <c:pt idx="47">
                  <c:v>116.39999999999988</c:v>
                </c:pt>
                <c:pt idx="48">
                  <c:v>118.19999999999987</c:v>
                </c:pt>
                <c:pt idx="49">
                  <c:v>119.99999999999987</c:v>
                </c:pt>
              </c:numCache>
            </c:numRef>
          </c:xVal>
          <c:yVal>
            <c:numRef>
              <c:f>'Relative Humidity Table '!$AP$2:$AP$51</c:f>
              <c:numCache>
                <c:formatCode>General</c:formatCode>
                <c:ptCount val="50"/>
                <c:pt idx="0">
                  <c:v>24.33277856192468</c:v>
                </c:pt>
                <c:pt idx="1">
                  <c:v>26.229841471078181</c:v>
                </c:pt>
                <c:pt idx="2">
                  <c:v>28.257569379423241</c:v>
                </c:pt>
                <c:pt idx="3">
                  <c:v>30.42379776753841</c:v>
                </c:pt>
                <c:pt idx="4">
                  <c:v>32.73676971495869</c:v>
                </c:pt>
                <c:pt idx="5">
                  <c:v>35.205155318367858</c:v>
                </c:pt>
                <c:pt idx="6">
                  <c:v>37.838072158621401</c:v>
                </c:pt>
                <c:pt idx="7">
                  <c:v>40.645106898051417</c:v>
                </c:pt>
                <c:pt idx="8">
                  <c:v>43.636338097411581</c:v>
                </c:pt>
                <c:pt idx="9">
                  <c:v>46.822360350526161</c:v>
                </c:pt>
                <c:pt idx="10">
                  <c:v>50.214309844297617</c:v>
                </c:pt>
                <c:pt idx="11">
                  <c:v>53.823891462301837</c:v>
                </c:pt>
                <c:pt idx="12">
                  <c:v>57.663407561864538</c:v>
                </c:pt>
                <c:pt idx="13">
                  <c:v>61.745788567392808</c:v>
                </c:pt>
                <c:pt idx="14">
                  <c:v>66.08462553697062</c:v>
                </c:pt>
                <c:pt idx="15">
                  <c:v>70.694204874970652</c:v>
                </c:pt>
                <c:pt idx="16">
                  <c:v>75.589545380871002</c:v>
                </c:pt>
                <c:pt idx="17">
                  <c:v>80.786437843790509</c:v>
                </c:pt>
                <c:pt idx="18">
                  <c:v>86.301487413703285</c:v>
                </c:pt>
                <c:pt idx="19">
                  <c:v>92.152159004125096</c:v>
                </c:pt>
                <c:pt idx="20">
                  <c:v>98.356826007572337</c:v>
                </c:pt>
                <c:pt idx="21">
                  <c:v>104.9348226346292</c:v>
                </c:pt>
                <c:pt idx="22">
                  <c:v>111.9065002204016</c:v>
                </c:pt>
                <c:pt idx="23">
                  <c:v>119.29328787893461</c:v>
                </c:pt>
                <c:pt idx="24">
                  <c:v>127.1177579273424</c:v>
                </c:pt>
                <c:pt idx="25">
                  <c:v>135.40369654752419</c:v>
                </c:pt>
                <c:pt idx="26">
                  <c:v>144.1761802051017</c:v>
                </c:pt>
                <c:pt idx="27">
                  <c:v>153.46165840339319</c:v>
                </c:pt>
                <c:pt idx="28">
                  <c:v>163.2880434157405</c:v>
                </c:pt>
                <c:pt idx="29">
                  <c:v>173.68480771336729</c:v>
                </c:pt>
                <c:pt idx="30">
                  <c:v>184.68308988940231</c:v>
                </c:pt>
                <c:pt idx="31">
                  <c:v>196.31580997413411</c:v>
                </c:pt>
                <c:pt idx="32">
                  <c:v>208.61779514364829</c:v>
                </c:pt>
                <c:pt idx="33">
                  <c:v>221.62591694562479</c:v>
                </c:pt>
                <c:pt idx="34">
                  <c:v>235.37924130450909</c:v>
                </c:pt>
                <c:pt idx="35">
                  <c:v>249.91919272613711</c:v>
                </c:pt>
                <c:pt idx="36">
                  <c:v>265.28973430228359</c:v>
                </c:pt>
                <c:pt idx="37">
                  <c:v>281.53756532217108</c:v>
                </c:pt>
                <c:pt idx="38">
                  <c:v>298.71233853500689</c:v>
                </c:pt>
                <c:pt idx="39">
                  <c:v>316.86689938022681</c:v>
                </c:pt>
                <c:pt idx="40">
                  <c:v>336.05754981634487</c:v>
                </c:pt>
                <c:pt idx="41">
                  <c:v>356.34433974233491</c:v>
                </c:pt>
                <c:pt idx="42">
                  <c:v>377.79138942592709</c:v>
                </c:pt>
                <c:pt idx="43">
                  <c:v>400.46724684130442</c:v>
                </c:pt>
                <c:pt idx="44">
                  <c:v>424.44528438686802</c:v>
                </c:pt>
                <c:pt idx="45">
                  <c:v>449.80414011678641</c:v>
                </c:pt>
                <c:pt idx="46">
                  <c:v>476.62820939596179</c:v>
                </c:pt>
                <c:pt idx="47">
                  <c:v>505.00819379862389</c:v>
                </c:pt>
                <c:pt idx="48">
                  <c:v>535.04171514241239</c:v>
                </c:pt>
                <c:pt idx="49">
                  <c:v>566.83400381494459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6-45DD-9A58-6293CB59A70E}"/>
            </c:ext>
          </c:extLst>
        </c:ser>
        <c:ser>
          <c:idx val="1"/>
          <c:order val="1"/>
          <c:tx>
            <c:v>Inputs: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('Master Lookup'!$B$2,'Master Lookup'!$B$14)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xVal>
          <c:yVal>
            <c:numRef>
              <c:f>('Master Lookup'!$H$3,'Master Lookup'!$H$15)</c:f>
              <c:numCache>
                <c:formatCode>0.00</c:formatCode>
                <c:ptCount val="2"/>
                <c:pt idx="0">
                  <c:v>43.662622815588733</c:v>
                </c:pt>
                <c:pt idx="1">
                  <c:v>127.11775792734261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16-45DD-9A58-6293CB59A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38528"/>
        <c:axId val="1957291344"/>
      </c:scatterChart>
      <c:valAx>
        <c:axId val="11053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Dry  Bulb Temperature [F]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91344"/>
        <c:crosses val="autoZero"/>
        <c:crossBetween val="midCat"/>
      </c:valAx>
      <c:valAx>
        <c:axId val="19572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Humidity [gains/lbda]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3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23</xdr:row>
      <xdr:rowOff>38099</xdr:rowOff>
    </xdr:from>
    <xdr:to>
      <xdr:col>9</xdr:col>
      <xdr:colOff>391532</xdr:colOff>
      <xdr:row>32</xdr:row>
      <xdr:rowOff>67355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3A760A-ABFC-28FB-C3B1-7E3946FDD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419599"/>
          <a:ext cx="5506457" cy="3467781"/>
        </a:xfrm>
        <a:prstGeom prst="rect">
          <a:avLst/>
        </a:prstGeom>
      </xdr:spPr>
    </xdr:pic>
    <xdr:clientData/>
  </xdr:twoCellAnchor>
  <xdr:twoCellAnchor>
    <xdr:from>
      <xdr:col>10</xdr:col>
      <xdr:colOff>209549</xdr:colOff>
      <xdr:row>0</xdr:row>
      <xdr:rowOff>85724</xdr:rowOff>
    </xdr:from>
    <xdr:to>
      <xdr:col>20</xdr:col>
      <xdr:colOff>342900</xdr:colOff>
      <xdr:row>24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2C81C4-B254-4208-B456-3D6FCFDC0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504825</xdr:colOff>
      <xdr:row>23</xdr:row>
      <xdr:rowOff>134749</xdr:rowOff>
    </xdr:from>
    <xdr:to>
      <xdr:col>15</xdr:col>
      <xdr:colOff>39104</xdr:colOff>
      <xdr:row>34</xdr:row>
      <xdr:rowOff>72473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E3593E-6918-5427-72EC-B0AA4E948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9275" y="4516249"/>
          <a:ext cx="5573129" cy="3757249"/>
        </a:xfrm>
        <a:prstGeom prst="rect">
          <a:avLst/>
        </a:prstGeom>
      </xdr:spPr>
    </xdr:pic>
    <xdr:clientData/>
  </xdr:twoCellAnchor>
  <xdr:twoCellAnchor editAs="oneCell">
    <xdr:from>
      <xdr:col>14</xdr:col>
      <xdr:colOff>552450</xdr:colOff>
      <xdr:row>23</xdr:row>
      <xdr:rowOff>114301</xdr:rowOff>
    </xdr:from>
    <xdr:to>
      <xdr:col>22</xdr:col>
      <xdr:colOff>429443</xdr:colOff>
      <xdr:row>38</xdr:row>
      <xdr:rowOff>8298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281E0A-301A-4F95-A27A-53860AE46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06150" y="4495801"/>
          <a:ext cx="4753793" cy="447552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3E65-D7C7-48D2-88CF-D8ED3646DF6B}">
  <dimension ref="A1:X40"/>
  <sheetViews>
    <sheetView tabSelected="1" workbookViewId="0">
      <selection activeCell="G8" sqref="G8"/>
    </sheetView>
  </sheetViews>
  <sheetFormatPr defaultRowHeight="15" x14ac:dyDescent="0.25"/>
  <cols>
    <col min="2" max="2" width="12.42578125" customWidth="1"/>
    <col min="3" max="3" width="16.28515625" hidden="1" customWidth="1"/>
    <col min="4" max="4" width="18.7109375" hidden="1" customWidth="1"/>
    <col min="5" max="6" width="12" hidden="1" customWidth="1"/>
    <col min="7" max="7" width="22.85546875" bestFit="1" customWidth="1"/>
    <col min="8" max="8" width="15.7109375" bestFit="1" customWidth="1"/>
    <col min="9" max="9" width="16.7109375" bestFit="1" customWidth="1"/>
    <col min="10" max="11" width="10" customWidth="1"/>
    <col min="12" max="12" width="27.140625" customWidth="1"/>
    <col min="13" max="13" width="17.5703125" customWidth="1"/>
    <col min="14" max="14" width="16.7109375" bestFit="1" customWidth="1"/>
  </cols>
  <sheetData>
    <row r="1" spans="1:10" x14ac:dyDescent="0.25">
      <c r="A1" s="10" t="s">
        <v>10</v>
      </c>
      <c r="B1" s="10" t="s">
        <v>19</v>
      </c>
      <c r="E1" s="4" cm="1">
        <f t="array" ref="E1">INDEX('Relative Humidity Table '!$B$1:$AT$1,1,C3)</f>
        <v>35</v>
      </c>
      <c r="F1" s="4" cm="1">
        <f t="array" ref="F1">INDEX('Relative Humidity Table '!$B$1:$AT$1,1,C3 + 1)</f>
        <v>37.5</v>
      </c>
    </row>
    <row r="2" spans="1:10" x14ac:dyDescent="0.25">
      <c r="A2" s="2" t="s">
        <v>4</v>
      </c>
      <c r="B2" s="3">
        <v>75</v>
      </c>
      <c r="C2">
        <f>MATCH(B2,'Relative Humidity Table '!$A$2:$A$51,1)</f>
        <v>25</v>
      </c>
      <c r="D2" s="4" cm="1">
        <f t="array" ref="D2">INDEX('Relative Humidity Table '!$A$2:$A$51,C2,1)</f>
        <v>74.999999999999943</v>
      </c>
      <c r="E2" s="9" cm="1">
        <f t="array" ref="E2">INDEX('Relative Humidity Table '!$B$2:$AT$51,C2,C3)</f>
        <v>43.662622815588648</v>
      </c>
      <c r="F2" s="9" cm="1">
        <f t="array" ref="F2">INDEX('Relative Humidity Table '!$B$2:$AT$51,C2,C3 + 1)</f>
        <v>46.814914988867343</v>
      </c>
      <c r="G2" s="11" t="s">
        <v>12</v>
      </c>
      <c r="H2" s="11" t="s">
        <v>5</v>
      </c>
      <c r="I2" s="11" t="s">
        <v>6</v>
      </c>
      <c r="J2" s="11" t="s">
        <v>7</v>
      </c>
    </row>
    <row r="3" spans="1:10" x14ac:dyDescent="0.25">
      <c r="A3" s="2" t="s">
        <v>15</v>
      </c>
      <c r="B3" s="3">
        <v>35</v>
      </c>
      <c r="C3">
        <f>MATCH(B3,'Relative Humidity Table '!$B$1:$AT$1,1)</f>
        <v>15</v>
      </c>
      <c r="D3" s="4" cm="1">
        <f t="array" ref="D3">INDEX('Relative Humidity Table '!$A$2:$A$51,C2 + 1,1)</f>
        <v>76.79999999999994</v>
      </c>
      <c r="E3" s="9" cm="1">
        <f t="array" ref="E3">INDEX('Relative Humidity Table '!$B$2:$AT$51,C2 + 1,C3)</f>
        <v>46.452300097306058</v>
      </c>
      <c r="F3" s="9" cm="1">
        <f t="array" ref="F3">INDEX('Relative Humidity Table '!$B$2:$AT$51,C2 + 1,C3 + 1)</f>
        <v>49.808278569106918</v>
      </c>
      <c r="G3" s="12">
        <f>_xlfn.FORECAST.LINEAR(H3,E6:F6,E9:F9)</f>
        <v>24.738641962211936</v>
      </c>
      <c r="H3" s="13">
        <f>_xlfn.FORECAST.LINEAR(B3,E4:F4,E1:F1)</f>
        <v>43.662622815588733</v>
      </c>
      <c r="I3" s="14"/>
      <c r="J3" s="15"/>
    </row>
    <row r="4" spans="1:10" x14ac:dyDescent="0.25">
      <c r="D4" s="8" t="s">
        <v>8</v>
      </c>
      <c r="E4" s="8">
        <f>_xlfn.FORECAST.LINEAR(B2,E2:E3,D2:D3)</f>
        <v>43.662622815588733</v>
      </c>
      <c r="F4" s="8">
        <f>_xlfn.FORECAST.LINEAR(B2,F2:F3,D2:D3)</f>
        <v>46.814914988867429</v>
      </c>
      <c r="G4" t="s">
        <v>17</v>
      </c>
      <c r="H4" t="s">
        <v>14</v>
      </c>
      <c r="I4" s="16" t="s">
        <v>16</v>
      </c>
      <c r="J4" s="16" t="s">
        <v>0</v>
      </c>
    </row>
    <row r="6" spans="1:10" x14ac:dyDescent="0.25">
      <c r="D6" s="4"/>
      <c r="E6" s="4" cm="1">
        <f t="array" ref="E6">INDEX('Enthalpy Table'!$B$1:$BT$1,1,C7)</f>
        <v>24</v>
      </c>
      <c r="F6" s="4" cm="1">
        <f t="array" ref="F6">INDEX('Enthalpy Table'!$B$1:$BT$1,1,C7+1)</f>
        <v>25</v>
      </c>
    </row>
    <row r="7" spans="1:10" x14ac:dyDescent="0.25">
      <c r="C7">
        <f>MATCH(H3,_xlfn.XLOOKUP(D7,'Enthalpy Table'!$A$2:$A$51,'Enthalpy Table'!$B$2:$BT$51),1)</f>
        <v>15</v>
      </c>
      <c r="D7" s="5">
        <f>D2</f>
        <v>74.999999999999943</v>
      </c>
      <c r="E7" s="6" cm="1">
        <f t="array" ref="E7">INDEX('Enthalpy Table'!$B$2:$BT$51,C2,C7)</f>
        <v>39.00341278037876</v>
      </c>
      <c r="F7" s="6" cm="1">
        <f t="array" ref="F7">INDEX('Enthalpy Table'!$B$2:$BT$51,C2,C7 + 1)</f>
        <v>45.311218555801553</v>
      </c>
    </row>
    <row r="8" spans="1:10" x14ac:dyDescent="0.25">
      <c r="C8">
        <f>MATCH(H3,_xlfn.XLOOKUP(D8,'Enthalpy Table'!$A$2:$A$51,'Enthalpy Table'!$B$2:$BT$51),1)</f>
        <v>16</v>
      </c>
      <c r="D8" s="5">
        <f>D3</f>
        <v>76.79999999999994</v>
      </c>
      <c r="E8" s="6" cm="1">
        <f t="array" ref="E8">INDEX('Enthalpy Table'!$B$2:$BT$51,C2 + 1,C7)</f>
        <v>36.185010854497193</v>
      </c>
      <c r="F8" s="6" cm="1">
        <f t="array" ref="F8">INDEX('Enthalpy Table'!$B$2:$BT$51,C2 + 1,C7 + 1)</f>
        <v>42.487928724886054</v>
      </c>
    </row>
    <row r="9" spans="1:10" x14ac:dyDescent="0.25">
      <c r="D9" s="7" t="s">
        <v>9</v>
      </c>
      <c r="E9" s="7">
        <f>_xlfn.FORECAST.LINEAR(B2,E7:E8,D7:D8)</f>
        <v>39.003412780378696</v>
      </c>
      <c r="F9" s="7">
        <f>_xlfn.FORECAST.LINEAR(B2,F7:F8,D7:D8)</f>
        <v>45.31121855580146</v>
      </c>
    </row>
    <row r="13" spans="1:10" x14ac:dyDescent="0.25">
      <c r="A13" s="10" t="s">
        <v>11</v>
      </c>
      <c r="E13" s="4" cm="1">
        <f t="array" ref="E13">INDEX('Relative Humidity Table '!$B$1:$AT$1,1,C15)</f>
        <v>100</v>
      </c>
      <c r="F13" s="4" cm="1">
        <f t="array" ref="F13">INDEX('Relative Humidity Table '!$B$1:$AT$1,1,C15 + 1)</f>
        <v>102.5</v>
      </c>
    </row>
    <row r="14" spans="1:10" x14ac:dyDescent="0.25">
      <c r="A14" s="2" t="s">
        <v>13</v>
      </c>
      <c r="B14" s="3">
        <v>75</v>
      </c>
      <c r="C14">
        <f>MATCH(B14,'Relative Humidity Table '!$A$2:$A$51,1)</f>
        <v>25</v>
      </c>
      <c r="D14" s="4" cm="1">
        <f t="array" ref="D14">INDEX('Relative Humidity Table '!$A$2:$A$51,C14,1)</f>
        <v>74.999999999999943</v>
      </c>
      <c r="E14" s="9" cm="1">
        <f t="array" ref="E14">INDEX('Relative Humidity Table '!$B$2:$AT$51,C14,C15)</f>
        <v>127.1177579273424</v>
      </c>
      <c r="F14" s="9" cm="1">
        <f t="array" ref="F14">INDEX('Relative Humidity Table '!$B$2:$AT$51,C14,C15 + 1)</f>
        <v>130.39087295628161</v>
      </c>
      <c r="G14" s="11" t="s">
        <v>12</v>
      </c>
      <c r="H14" s="11" t="s">
        <v>5</v>
      </c>
      <c r="I14" s="11" t="s">
        <v>6</v>
      </c>
      <c r="J14" s="11" t="s">
        <v>7</v>
      </c>
    </row>
    <row r="15" spans="1:10" x14ac:dyDescent="0.25">
      <c r="A15" s="2" t="s">
        <v>15</v>
      </c>
      <c r="B15" s="3">
        <v>100</v>
      </c>
      <c r="C15">
        <f>MATCH(B15,'Relative Humidity Table '!$B$1:$AT$1,1)</f>
        <v>41</v>
      </c>
      <c r="D15" s="4" cm="1">
        <f t="array" ref="D15">INDEX('Relative Humidity Table '!$A$2:$A$51,C14 + 1,1)</f>
        <v>76.79999999999994</v>
      </c>
      <c r="E15" s="9" cm="1">
        <f t="array" ref="E15">INDEX('Relative Humidity Table '!$B$2:$AT$51,C14 + 1,C15)</f>
        <v>135.40369654752419</v>
      </c>
      <c r="F15" s="9" cm="1">
        <f t="array" ref="F15">INDEX('Relative Humidity Table '!$B$2:$AT$51,C14 + 1,C15 + 1)</f>
        <v>138.89677665642259</v>
      </c>
      <c r="G15" s="12">
        <f>_xlfn.FORECAST.LINEAR(H15,E18:F18,E21:F21)</f>
        <v>37.969096114259784</v>
      </c>
      <c r="H15" s="13">
        <f>_xlfn.FORECAST.LINEAR(B15,E16:F16,E13:F13)</f>
        <v>127.11775792734261</v>
      </c>
      <c r="I15" s="14"/>
      <c r="J15" s="15"/>
    </row>
    <row r="16" spans="1:10" x14ac:dyDescent="0.25">
      <c r="D16" s="8" t="s">
        <v>8</v>
      </c>
      <c r="E16" s="8">
        <f>_xlfn.FORECAST.LINEAR(B14,E14:E15,D14:D15)</f>
        <v>127.11775792734261</v>
      </c>
      <c r="F16" s="8">
        <f>_xlfn.FORECAST.LINEAR(B14,F14:F15,D14:D15)</f>
        <v>130.39087295628184</v>
      </c>
      <c r="G16" t="s">
        <v>17</v>
      </c>
      <c r="H16" t="s">
        <v>14</v>
      </c>
      <c r="I16" s="16" t="s">
        <v>16</v>
      </c>
      <c r="J16" s="16" t="s">
        <v>0</v>
      </c>
    </row>
    <row r="18" spans="3:24" x14ac:dyDescent="0.25">
      <c r="D18" s="4"/>
      <c r="E18" s="4" cm="1">
        <f t="array" ref="E18">INDEX('Enthalpy Table'!$B$1:$BT$1,1,C19)</f>
        <v>37</v>
      </c>
      <c r="F18" s="4" cm="1">
        <f t="array" ref="F18">INDEX('Enthalpy Table'!$B$1:$BT$1,1,C19+1)</f>
        <v>38</v>
      </c>
    </row>
    <row r="19" spans="3:24" x14ac:dyDescent="0.25">
      <c r="C19">
        <f>MATCH(H15,_xlfn.XLOOKUP(D19,'Enthalpy Table'!$A$2:$A$51,'Enthalpy Table'!$B$2:$BT$51),1)</f>
        <v>28</v>
      </c>
      <c r="D19" s="5">
        <f>D14</f>
        <v>74.999999999999943</v>
      </c>
      <c r="E19" s="6" cm="1">
        <f t="array" ref="E19">INDEX('Enthalpy Table'!$B$2:$BT$51,C14,C19)</f>
        <v>121.004887860875</v>
      </c>
      <c r="F19" s="6" cm="1">
        <f t="array" ref="F19">INDEX('Enthalpy Table'!$B$2:$BT$51,C14,C19 + 1)</f>
        <v>127.31269363629779</v>
      </c>
      <c r="G19" s="11" t="s">
        <v>18</v>
      </c>
    </row>
    <row r="20" spans="3:24" x14ac:dyDescent="0.25">
      <c r="C20">
        <f>MATCH(H15,_xlfn.XLOOKUP(D20,'Enthalpy Table'!$A$2:$A$51,'Enthalpy Table'!$B$2:$BT$51),1)</f>
        <v>29</v>
      </c>
      <c r="D20" s="5">
        <f>D15</f>
        <v>76.79999999999994</v>
      </c>
      <c r="E20" s="6" cm="1">
        <f t="array" ref="E20">INDEX('Enthalpy Table'!$B$2:$BT$51,C14 + 1,C19)</f>
        <v>118.1229431695523</v>
      </c>
      <c r="F20" s="6" cm="1">
        <f t="array" ref="F20">INDEX('Enthalpy Table'!$B$2:$BT$51,C14 + 1,C19 + 1)</f>
        <v>124.4258610399411</v>
      </c>
      <c r="G20" s="12">
        <f>ABS(G3-G15)</f>
        <v>13.230454152047848</v>
      </c>
    </row>
    <row r="21" spans="3:24" x14ac:dyDescent="0.25">
      <c r="D21" s="7" t="s">
        <v>9</v>
      </c>
      <c r="E21" s="7">
        <f>_xlfn.FORECAST.LINEAR(B14,E19:E20,D19:D20)</f>
        <v>121.00488786087492</v>
      </c>
      <c r="F21" s="7">
        <f>_xlfn.FORECAST.LINEAR(B14,F19:F20,D19:D20)</f>
        <v>127.31269363629772</v>
      </c>
      <c r="G21" t="s">
        <v>17</v>
      </c>
    </row>
    <row r="25" spans="3:24" ht="120" x14ac:dyDescent="0.25">
      <c r="V25" s="19" t="s">
        <v>21</v>
      </c>
      <c r="W25" s="19" t="s">
        <v>20</v>
      </c>
    </row>
    <row r="26" spans="3:24" ht="45.75" customHeight="1" x14ac:dyDescent="0.25">
      <c r="V26" s="17"/>
      <c r="W26" s="17"/>
      <c r="X26" t="s">
        <v>22</v>
      </c>
    </row>
    <row r="27" spans="3:24" x14ac:dyDescent="0.25">
      <c r="V27" s="17"/>
      <c r="W27" s="17"/>
      <c r="X27" t="s">
        <v>23</v>
      </c>
    </row>
    <row r="28" spans="3:24" x14ac:dyDescent="0.25">
      <c r="J28" s="10"/>
      <c r="V28" s="17"/>
      <c r="W28" s="17"/>
      <c r="X28" t="s">
        <v>24</v>
      </c>
    </row>
    <row r="29" spans="3:24" x14ac:dyDescent="0.25">
      <c r="V29" s="17"/>
      <c r="W29" s="18"/>
      <c r="X29" t="s">
        <v>26</v>
      </c>
    </row>
    <row r="30" spans="3:24" x14ac:dyDescent="0.25">
      <c r="V30" s="18"/>
      <c r="W30" s="18"/>
      <c r="X30" t="s">
        <v>25</v>
      </c>
    </row>
    <row r="31" spans="3:24" x14ac:dyDescent="0.25">
      <c r="V31" s="17"/>
      <c r="W31" s="18"/>
      <c r="X31" t="s">
        <v>27</v>
      </c>
    </row>
    <row r="32" spans="3:24" x14ac:dyDescent="0.25">
      <c r="V32" s="18"/>
      <c r="W32" s="17"/>
      <c r="X32" t="s">
        <v>28</v>
      </c>
    </row>
    <row r="34" spans="2:16" x14ac:dyDescent="0.25">
      <c r="B34" s="10" t="s">
        <v>29</v>
      </c>
    </row>
    <row r="40" spans="2:16" x14ac:dyDescent="0.25">
      <c r="P40" s="10" t="s">
        <v>30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2"/>
  <sheetViews>
    <sheetView zoomScale="85" zoomScaleNormal="85" workbookViewId="0">
      <selection activeCell="O28" sqref="O28"/>
    </sheetView>
  </sheetViews>
  <sheetFormatPr defaultRowHeight="15" x14ac:dyDescent="0.25"/>
  <sheetData>
    <row r="1" spans="1:47" x14ac:dyDescent="0.25">
      <c r="B1" s="1">
        <v>0</v>
      </c>
      <c r="C1" s="1">
        <v>2.5</v>
      </c>
      <c r="D1" s="1">
        <f>C1+2.5</f>
        <v>5</v>
      </c>
      <c r="E1" s="1">
        <f t="shared" ref="E1:AT1" si="0">D1+2.5</f>
        <v>7.5</v>
      </c>
      <c r="F1" s="1">
        <f t="shared" si="0"/>
        <v>10</v>
      </c>
      <c r="G1" s="1">
        <f t="shared" si="0"/>
        <v>12.5</v>
      </c>
      <c r="H1" s="1">
        <f t="shared" si="0"/>
        <v>15</v>
      </c>
      <c r="I1" s="1">
        <f t="shared" si="0"/>
        <v>17.5</v>
      </c>
      <c r="J1" s="1">
        <f t="shared" si="0"/>
        <v>20</v>
      </c>
      <c r="K1" s="1">
        <f t="shared" si="0"/>
        <v>22.5</v>
      </c>
      <c r="L1" s="1">
        <f t="shared" si="0"/>
        <v>25</v>
      </c>
      <c r="M1" s="1">
        <f t="shared" si="0"/>
        <v>27.5</v>
      </c>
      <c r="N1" s="1">
        <f t="shared" si="0"/>
        <v>30</v>
      </c>
      <c r="O1" s="1">
        <f t="shared" si="0"/>
        <v>32.5</v>
      </c>
      <c r="P1" s="1">
        <f t="shared" si="0"/>
        <v>35</v>
      </c>
      <c r="Q1" s="1">
        <f t="shared" si="0"/>
        <v>37.5</v>
      </c>
      <c r="R1" s="1">
        <f t="shared" si="0"/>
        <v>40</v>
      </c>
      <c r="S1" s="1">
        <f t="shared" si="0"/>
        <v>42.5</v>
      </c>
      <c r="T1" s="1">
        <f t="shared" si="0"/>
        <v>45</v>
      </c>
      <c r="U1" s="1">
        <f t="shared" si="0"/>
        <v>47.5</v>
      </c>
      <c r="V1" s="1">
        <f t="shared" si="0"/>
        <v>50</v>
      </c>
      <c r="W1" s="1">
        <f t="shared" si="0"/>
        <v>52.5</v>
      </c>
      <c r="X1" s="1">
        <f t="shared" si="0"/>
        <v>55</v>
      </c>
      <c r="Y1" s="1">
        <f t="shared" si="0"/>
        <v>57.5</v>
      </c>
      <c r="Z1" s="1">
        <f t="shared" si="0"/>
        <v>60</v>
      </c>
      <c r="AA1" s="1">
        <f t="shared" si="0"/>
        <v>62.5</v>
      </c>
      <c r="AB1" s="1">
        <f t="shared" si="0"/>
        <v>65</v>
      </c>
      <c r="AC1" s="1">
        <f t="shared" si="0"/>
        <v>67.5</v>
      </c>
      <c r="AD1" s="1">
        <f t="shared" si="0"/>
        <v>70</v>
      </c>
      <c r="AE1" s="1">
        <f t="shared" si="0"/>
        <v>72.5</v>
      </c>
      <c r="AF1" s="1">
        <f t="shared" si="0"/>
        <v>75</v>
      </c>
      <c r="AG1" s="1">
        <f t="shared" si="0"/>
        <v>77.5</v>
      </c>
      <c r="AH1" s="1">
        <f t="shared" si="0"/>
        <v>80</v>
      </c>
      <c r="AI1" s="1">
        <f t="shared" si="0"/>
        <v>82.5</v>
      </c>
      <c r="AJ1" s="1">
        <f t="shared" si="0"/>
        <v>85</v>
      </c>
      <c r="AK1" s="1">
        <f t="shared" si="0"/>
        <v>87.5</v>
      </c>
      <c r="AL1" s="1">
        <f t="shared" si="0"/>
        <v>90</v>
      </c>
      <c r="AM1" s="1">
        <f t="shared" si="0"/>
        <v>92.5</v>
      </c>
      <c r="AN1" s="1">
        <f t="shared" si="0"/>
        <v>95</v>
      </c>
      <c r="AO1" s="1">
        <f t="shared" si="0"/>
        <v>97.5</v>
      </c>
      <c r="AP1" s="1">
        <f t="shared" si="0"/>
        <v>100</v>
      </c>
      <c r="AQ1" s="1">
        <f t="shared" si="0"/>
        <v>102.5</v>
      </c>
      <c r="AR1" s="1">
        <f t="shared" si="0"/>
        <v>105</v>
      </c>
      <c r="AS1" s="1">
        <f t="shared" si="0"/>
        <v>107.5</v>
      </c>
      <c r="AT1" s="1">
        <f t="shared" si="0"/>
        <v>110</v>
      </c>
      <c r="AU1" t="s">
        <v>3</v>
      </c>
    </row>
    <row r="2" spans="1:47" x14ac:dyDescent="0.25">
      <c r="A2" s="1">
        <f>30+1.8</f>
        <v>31.8</v>
      </c>
      <c r="B2">
        <v>0</v>
      </c>
      <c r="C2">
        <v>0.60502276267321464</v>
      </c>
      <c r="D2">
        <v>1.2102136941182811</v>
      </c>
      <c r="E2">
        <v>1.815572864459833</v>
      </c>
      <c r="F2">
        <v>2.421100343861498</v>
      </c>
      <c r="G2">
        <v>3.0267962025259281</v>
      </c>
      <c r="H2">
        <v>3.632660510694818</v>
      </c>
      <c r="I2">
        <v>4.2386933386489396</v>
      </c>
      <c r="J2">
        <v>4.844894756708169</v>
      </c>
      <c r="K2">
        <v>5.4512648352315098</v>
      </c>
      <c r="L2">
        <v>6.057803644617124</v>
      </c>
      <c r="M2">
        <v>6.6645112553023544</v>
      </c>
      <c r="N2">
        <v>7.2713877377637557</v>
      </c>
      <c r="O2">
        <v>7.8784331625171271</v>
      </c>
      <c r="P2">
        <v>8.4856476001175256</v>
      </c>
      <c r="Q2">
        <v>9.0930311211593065</v>
      </c>
      <c r="R2">
        <v>9.7005837962761419</v>
      </c>
      <c r="S2">
        <v>10.30830569614106</v>
      </c>
      <c r="T2">
        <v>10.91619689146644</v>
      </c>
      <c r="U2">
        <v>11.524257453004109</v>
      </c>
      <c r="V2">
        <v>12.132487451545281</v>
      </c>
      <c r="W2">
        <v>12.74088695792064</v>
      </c>
      <c r="X2">
        <v>13.349456043000369</v>
      </c>
      <c r="Y2">
        <v>13.95819477769416</v>
      </c>
      <c r="Z2">
        <v>14.56710323295122</v>
      </c>
      <c r="AA2">
        <v>15.17618147976035</v>
      </c>
      <c r="AB2">
        <v>15.785429589149951</v>
      </c>
      <c r="AC2">
        <v>16.394847632188011</v>
      </c>
      <c r="AD2">
        <v>17.004435679982219</v>
      </c>
      <c r="AE2">
        <v>17.61419380367991</v>
      </c>
      <c r="AF2">
        <v>18.22412207446812</v>
      </c>
      <c r="AG2">
        <v>18.834220563573631</v>
      </c>
      <c r="AH2">
        <v>19.44448934226299</v>
      </c>
      <c r="AI2">
        <v>20.054928481842531</v>
      </c>
      <c r="AJ2">
        <v>20.665538053658398</v>
      </c>
      <c r="AK2">
        <v>21.27631812909658</v>
      </c>
      <c r="AL2">
        <v>21.88726877958295</v>
      </c>
      <c r="AM2">
        <v>22.49839007658327</v>
      </c>
      <c r="AN2">
        <v>23.10968209160324</v>
      </c>
      <c r="AO2">
        <v>23.721144896188498</v>
      </c>
      <c r="AP2">
        <v>24.33277856192468</v>
      </c>
      <c r="AQ2">
        <v>24.94458316043745</v>
      </c>
      <c r="AR2">
        <v>25.55655876339247</v>
      </c>
      <c r="AS2">
        <v>26.168705442495501</v>
      </c>
      <c r="AT2">
        <v>26.781023269492401</v>
      </c>
    </row>
    <row r="3" spans="1:47" x14ac:dyDescent="0.25">
      <c r="A3" s="1">
        <f>A2+1.8</f>
        <v>33.6</v>
      </c>
      <c r="B3">
        <v>0</v>
      </c>
      <c r="C3">
        <v>0.65191687180342883</v>
      </c>
      <c r="D3">
        <v>1.304028993607375</v>
      </c>
      <c r="E3">
        <v>1.956336453141442</v>
      </c>
      <c r="F3">
        <v>2.6088393381878001</v>
      </c>
      <c r="G3">
        <v>3.2615377365812228</v>
      </c>
      <c r="H3">
        <v>3.914431736209131</v>
      </c>
      <c r="I3">
        <v>4.5675214250116296</v>
      </c>
      <c r="J3">
        <v>5.2208068909815433</v>
      </c>
      <c r="K3">
        <v>5.8742882221644646</v>
      </c>
      <c r="L3">
        <v>6.5279655066587869</v>
      </c>
      <c r="M3">
        <v>7.1818388326157478</v>
      </c>
      <c r="N3">
        <v>7.8359082882394633</v>
      </c>
      <c r="O3">
        <v>8.4901739617869758</v>
      </c>
      <c r="P3">
        <v>9.1446359415682839</v>
      </c>
      <c r="Q3">
        <v>9.7992943159463923</v>
      </c>
      <c r="R3">
        <v>10.45414917333734</v>
      </c>
      <c r="S3">
        <v>11.10920060221026</v>
      </c>
      <c r="T3">
        <v>11.76444869108739</v>
      </c>
      <c r="U3">
        <v>12.419893528544121</v>
      </c>
      <c r="V3">
        <v>13.075535203209091</v>
      </c>
      <c r="W3">
        <v>13.73137380376412</v>
      </c>
      <c r="X3">
        <v>14.38740941894434</v>
      </c>
      <c r="Y3">
        <v>15.0436421375382</v>
      </c>
      <c r="Z3">
        <v>15.700072048387501</v>
      </c>
      <c r="AA3">
        <v>16.356699240387449</v>
      </c>
      <c r="AB3">
        <v>17.013523802486699</v>
      </c>
      <c r="AC3">
        <v>17.67054582368738</v>
      </c>
      <c r="AD3">
        <v>18.32776539304513</v>
      </c>
      <c r="AE3">
        <v>18.985182599669159</v>
      </c>
      <c r="AF3">
        <v>19.642797532722291</v>
      </c>
      <c r="AG3">
        <v>20.300610281420969</v>
      </c>
      <c r="AH3">
        <v>20.958620935035341</v>
      </c>
      <c r="AI3">
        <v>21.616829582889238</v>
      </c>
      <c r="AJ3">
        <v>22.27523631436031</v>
      </c>
      <c r="AK3">
        <v>22.933841218879969</v>
      </c>
      <c r="AL3">
        <v>23.592644385933461</v>
      </c>
      <c r="AM3">
        <v>24.251645905059981</v>
      </c>
      <c r="AN3">
        <v>24.910845865852568</v>
      </c>
      <c r="AO3">
        <v>25.570244357958291</v>
      </c>
      <c r="AP3">
        <v>26.229841471078181</v>
      </c>
      <c r="AQ3">
        <v>26.88963729496734</v>
      </c>
      <c r="AR3">
        <v>27.549631919434951</v>
      </c>
      <c r="AS3">
        <v>28.209825434344332</v>
      </c>
      <c r="AT3">
        <v>28.870217929612949</v>
      </c>
    </row>
    <row r="4" spans="1:47" x14ac:dyDescent="0.25">
      <c r="A4" s="1">
        <f t="shared" ref="A4:A51" si="1">A3+1.8</f>
        <v>35.4</v>
      </c>
      <c r="B4">
        <v>0</v>
      </c>
      <c r="C4">
        <v>0.70199715479492153</v>
      </c>
      <c r="D4">
        <v>1.4042207126548381</v>
      </c>
      <c r="E4">
        <v>2.1066707831242422</v>
      </c>
      <c r="F4">
        <v>2.809347475818309</v>
      </c>
      <c r="G4">
        <v>3.5122509004229521</v>
      </c>
      <c r="H4">
        <v>4.2153811666948799</v>
      </c>
      <c r="I4">
        <v>4.9187383844616566</v>
      </c>
      <c r="J4">
        <v>5.6223226636217536</v>
      </c>
      <c r="K4">
        <v>6.3261341141446117</v>
      </c>
      <c r="L4">
        <v>7.0301728460706947</v>
      </c>
      <c r="M4">
        <v>7.7344389695115519</v>
      </c>
      <c r="N4">
        <v>8.4389325946498648</v>
      </c>
      <c r="O4">
        <v>9.1436538317395222</v>
      </c>
      <c r="P4">
        <v>9.8486027911056571</v>
      </c>
      <c r="Q4">
        <v>10.553779583144729</v>
      </c>
      <c r="R4">
        <v>11.259184318324539</v>
      </c>
      <c r="S4">
        <v>11.96481710718435</v>
      </c>
      <c r="T4">
        <v>12.67067806033489</v>
      </c>
      <c r="U4">
        <v>13.37676728845843</v>
      </c>
      <c r="V4">
        <v>14.083084902308849</v>
      </c>
      <c r="W4">
        <v>14.789631012711681</v>
      </c>
      <c r="X4">
        <v>15.496405730564179</v>
      </c>
      <c r="Y4">
        <v>16.20340916683536</v>
      </c>
      <c r="Z4">
        <v>16.910641432566091</v>
      </c>
      <c r="AA4">
        <v>17.618102638869111</v>
      </c>
      <c r="AB4">
        <v>18.32579289692913</v>
      </c>
      <c r="AC4">
        <v>19.033712318002841</v>
      </c>
      <c r="AD4">
        <v>19.74186101341903</v>
      </c>
      <c r="AE4">
        <v>20.450239094578571</v>
      </c>
      <c r="AF4">
        <v>21.158846672954571</v>
      </c>
      <c r="AG4">
        <v>21.86768386009231</v>
      </c>
      <c r="AH4">
        <v>22.57675076760944</v>
      </c>
      <c r="AI4">
        <v>23.28604750719591</v>
      </c>
      <c r="AJ4">
        <v>23.995574190614121</v>
      </c>
      <c r="AK4">
        <v>24.705330929698949</v>
      </c>
      <c r="AL4">
        <v>25.41531783635779</v>
      </c>
      <c r="AM4">
        <v>26.125535022570631</v>
      </c>
      <c r="AN4">
        <v>26.835982600390111</v>
      </c>
      <c r="AO4">
        <v>27.54666068194161</v>
      </c>
      <c r="AP4">
        <v>28.257569379423241</v>
      </c>
      <c r="AQ4">
        <v>28.968708805105951</v>
      </c>
      <c r="AR4">
        <v>29.680079071333591</v>
      </c>
      <c r="AS4">
        <v>30.391680290522959</v>
      </c>
      <c r="AT4">
        <v>31.10351257516383</v>
      </c>
    </row>
    <row r="5" spans="1:47" x14ac:dyDescent="0.25">
      <c r="A5" s="1">
        <f t="shared" si="1"/>
        <v>37.199999999999996</v>
      </c>
      <c r="B5">
        <v>0</v>
      </c>
      <c r="C5">
        <v>0.75544817970131972</v>
      </c>
      <c r="D5">
        <v>1.5111585555395299</v>
      </c>
      <c r="E5">
        <v>2.2671312640403691</v>
      </c>
      <c r="F5">
        <v>3.0233664418243729</v>
      </c>
      <c r="G5">
        <v>3.7798642256069681</v>
      </c>
      <c r="H5">
        <v>4.5366247521985423</v>
      </c>
      <c r="I5">
        <v>5.2936481585045358</v>
      </c>
      <c r="J5">
        <v>6.0509345815255173</v>
      </c>
      <c r="K5">
        <v>6.8084841583572722</v>
      </c>
      <c r="L5">
        <v>7.5662970261908802</v>
      </c>
      <c r="M5">
        <v>8.3243733223128054</v>
      </c>
      <c r="N5">
        <v>9.0827131841049713</v>
      </c>
      <c r="O5">
        <v>9.8413167490448448</v>
      </c>
      <c r="P5">
        <v>10.600184154705531</v>
      </c>
      <c r="Q5">
        <v>11.35931553875583</v>
      </c>
      <c r="R5">
        <v>12.118711038960351</v>
      </c>
      <c r="S5">
        <v>12.878370793179579</v>
      </c>
      <c r="T5">
        <v>13.63829493936997</v>
      </c>
      <c r="U5">
        <v>14.398483615584</v>
      </c>
      <c r="V5">
        <v>15.158936959970291</v>
      </c>
      <c r="W5">
        <v>15.919655110773681</v>
      </c>
      <c r="X5">
        <v>16.680638206335299</v>
      </c>
      <c r="Y5">
        <v>17.441886385092651</v>
      </c>
      <c r="Z5">
        <v>18.20339978557972</v>
      </c>
      <c r="AA5">
        <v>18.96517854642703</v>
      </c>
      <c r="AB5">
        <v>19.727222806361709</v>
      </c>
      <c r="AC5">
        <v>20.489532704207662</v>
      </c>
      <c r="AD5">
        <v>21.252108378885548</v>
      </c>
      <c r="AE5">
        <v>22.014949969412921</v>
      </c>
      <c r="AF5">
        <v>22.77805761490432</v>
      </c>
      <c r="AG5">
        <v>23.54143145457131</v>
      </c>
      <c r="AH5">
        <v>24.30507162772264</v>
      </c>
      <c r="AI5">
        <v>25.06897827376422</v>
      </c>
      <c r="AJ5">
        <v>25.83315153219932</v>
      </c>
      <c r="AK5">
        <v>26.597591542628599</v>
      </c>
      <c r="AL5">
        <v>27.36229844475017</v>
      </c>
      <c r="AM5">
        <v>28.12727237835972</v>
      </c>
      <c r="AN5">
        <v>28.892513483350591</v>
      </c>
      <c r="AO5">
        <v>29.658021899713859</v>
      </c>
      <c r="AP5">
        <v>30.42379776753841</v>
      </c>
      <c r="AQ5">
        <v>31.189841227011051</v>
      </c>
      <c r="AR5">
        <v>31.956152418416561</v>
      </c>
      <c r="AS5">
        <v>32.722731482137803</v>
      </c>
      <c r="AT5">
        <v>33.489578558655793</v>
      </c>
    </row>
    <row r="6" spans="1:47" x14ac:dyDescent="0.25">
      <c r="A6" s="1">
        <f t="shared" si="1"/>
        <v>38.999999999999993</v>
      </c>
      <c r="B6">
        <v>0</v>
      </c>
      <c r="C6">
        <v>0.81246322861657982</v>
      </c>
      <c r="D6">
        <v>1.625229727649276</v>
      </c>
      <c r="E6">
        <v>2.4382996669336761</v>
      </c>
      <c r="F6">
        <v>3.2516732164322089</v>
      </c>
      <c r="G6">
        <v>4.0653505462342547</v>
      </c>
      <c r="H6">
        <v>4.8793318265562711</v>
      </c>
      <c r="I6">
        <v>5.6936172277419068</v>
      </c>
      <c r="J6">
        <v>6.5082069202621247</v>
      </c>
      <c r="K6">
        <v>7.3231010747153151</v>
      </c>
      <c r="L6">
        <v>8.13829986182742</v>
      </c>
      <c r="M6">
        <v>8.9538034524520533</v>
      </c>
      <c r="N6">
        <v>9.769612017570612</v>
      </c>
      <c r="O6">
        <v>10.58572572829241</v>
      </c>
      <c r="P6">
        <v>11.402144755854771</v>
      </c>
      <c r="Q6">
        <v>12.218869271623189</v>
      </c>
      <c r="R6">
        <v>13.03589944709141</v>
      </c>
      <c r="S6">
        <v>13.85323545388157</v>
      </c>
      <c r="T6">
        <v>14.67087746374431</v>
      </c>
      <c r="U6">
        <v>15.48882564855891</v>
      </c>
      <c r="V6">
        <v>16.30708018033339</v>
      </c>
      <c r="W6">
        <v>17.125641231204639</v>
      </c>
      <c r="X6">
        <v>17.944508973438541</v>
      </c>
      <c r="Y6">
        <v>18.763683579430079</v>
      </c>
      <c r="Z6">
        <v>19.583165221703471</v>
      </c>
      <c r="AA6">
        <v>20.402954072912301</v>
      </c>
      <c r="AB6">
        <v>21.22305030583961</v>
      </c>
      <c r="AC6">
        <v>22.043454093398029</v>
      </c>
      <c r="AD6">
        <v>22.864165608629939</v>
      </c>
      <c r="AE6">
        <v>23.685185024707529</v>
      </c>
      <c r="AF6">
        <v>24.50651251493295</v>
      </c>
      <c r="AG6">
        <v>25.328148252738441</v>
      </c>
      <c r="AH6">
        <v>26.150092411686469</v>
      </c>
      <c r="AI6">
        <v>26.972345165469761</v>
      </c>
      <c r="AJ6">
        <v>27.79490668791157</v>
      </c>
      <c r="AK6">
        <v>28.617777152965669</v>
      </c>
      <c r="AL6">
        <v>29.440956734716561</v>
      </c>
      <c r="AM6">
        <v>30.264445607379511</v>
      </c>
      <c r="AN6">
        <v>31.088243945300778</v>
      </c>
      <c r="AO6">
        <v>31.912351922957679</v>
      </c>
      <c r="AP6">
        <v>32.73676971495869</v>
      </c>
      <c r="AQ6">
        <v>33.5614974960436</v>
      </c>
      <c r="AR6">
        <v>34.38653544108363</v>
      </c>
      <c r="AS6">
        <v>35.211883725081591</v>
      </c>
      <c r="AT6">
        <v>36.037542523171908</v>
      </c>
    </row>
    <row r="7" spans="1:47" x14ac:dyDescent="0.25">
      <c r="A7" s="1">
        <f t="shared" si="1"/>
        <v>40.79999999999999</v>
      </c>
      <c r="B7">
        <v>0</v>
      </c>
      <c r="C7">
        <v>0.87324460547470029</v>
      </c>
      <c r="D7">
        <v>1.746839559645333</v>
      </c>
      <c r="E7">
        <v>2.6207850733958278</v>
      </c>
      <c r="F7">
        <v>3.4950813577793989</v>
      </c>
      <c r="G7">
        <v>4.3697286240187134</v>
      </c>
      <c r="H7">
        <v>5.2447270835060547</v>
      </c>
      <c r="I7">
        <v>6.1200769478035077</v>
      </c>
      <c r="J7">
        <v>6.9957784286431126</v>
      </c>
      <c r="K7">
        <v>7.8718317379270548</v>
      </c>
      <c r="L7">
        <v>8.7482370877278122</v>
      </c>
      <c r="M7">
        <v>9.6249946902883465</v>
      </c>
      <c r="N7">
        <v>10.502104758022259</v>
      </c>
      <c r="O7">
        <v>11.379567503513989</v>
      </c>
      <c r="P7">
        <v>12.25738313951895</v>
      </c>
      <c r="Q7">
        <v>13.13555187896371</v>
      </c>
      <c r="R7">
        <v>14.0140739349462</v>
      </c>
      <c r="S7">
        <v>14.892949520735829</v>
      </c>
      <c r="T7">
        <v>15.772178849773701</v>
      </c>
      <c r="U7">
        <v>16.651762135672779</v>
      </c>
      <c r="V7">
        <v>17.531699592218029</v>
      </c>
      <c r="W7">
        <v>18.411991433366651</v>
      </c>
      <c r="X7">
        <v>19.292637873248179</v>
      </c>
      <c r="Y7">
        <v>20.173639126164719</v>
      </c>
      <c r="Z7">
        <v>21.054995406591079</v>
      </c>
      <c r="AA7">
        <v>21.936706929174981</v>
      </c>
      <c r="AB7">
        <v>22.818773908737199</v>
      </c>
      <c r="AC7">
        <v>23.70119656027174</v>
      </c>
      <c r="AD7">
        <v>24.58397509894607</v>
      </c>
      <c r="AE7">
        <v>25.467109740101201</v>
      </c>
      <c r="AF7">
        <v>26.350600699251931</v>
      </c>
      <c r="AG7">
        <v>27.234448192087001</v>
      </c>
      <c r="AH7">
        <v>28.118652434469261</v>
      </c>
      <c r="AI7">
        <v>29.003213642435892</v>
      </c>
      <c r="AJ7">
        <v>29.888132032198481</v>
      </c>
      <c r="AK7">
        <v>30.773407820143309</v>
      </c>
      <c r="AL7">
        <v>31.65904122283148</v>
      </c>
      <c r="AM7">
        <v>32.545032456999053</v>
      </c>
      <c r="AN7">
        <v>33.431381739557317</v>
      </c>
      <c r="AO7">
        <v>34.318089287592869</v>
      </c>
      <c r="AP7">
        <v>35.205155318367858</v>
      </c>
      <c r="AQ7">
        <v>36.092580049320148</v>
      </c>
      <c r="AR7">
        <v>36.980363698063456</v>
      </c>
      <c r="AS7">
        <v>37.868506482387623</v>
      </c>
      <c r="AT7">
        <v>38.757008620258652</v>
      </c>
    </row>
    <row r="8" spans="1:47" x14ac:dyDescent="0.25">
      <c r="A8" s="1">
        <f t="shared" si="1"/>
        <v>42.599999999999987</v>
      </c>
      <c r="B8">
        <v>0</v>
      </c>
      <c r="C8">
        <v>0.9380039503528661</v>
      </c>
      <c r="D8">
        <v>1.87641214553922</v>
      </c>
      <c r="E8">
        <v>2.8152248469371282</v>
      </c>
      <c r="F8">
        <v>3.7544423161500409</v>
      </c>
      <c r="G8">
        <v>4.6940648150070414</v>
      </c>
      <c r="H8">
        <v>5.6340926055630769</v>
      </c>
      <c r="I8">
        <v>6.5745259500992184</v>
      </c>
      <c r="J8">
        <v>7.5153651111228923</v>
      </c>
      <c r="K8">
        <v>8.4566103513681306</v>
      </c>
      <c r="L8">
        <v>9.3982619337958102</v>
      </c>
      <c r="M8">
        <v>10.3403201215939</v>
      </c>
      <c r="N8">
        <v>11.28278517817772</v>
      </c>
      <c r="O8">
        <v>12.225657367190159</v>
      </c>
      <c r="P8">
        <v>13.168936952501941</v>
      </c>
      <c r="Q8">
        <v>14.11262419821186</v>
      </c>
      <c r="R8">
        <v>15.05671936864705</v>
      </c>
      <c r="S8">
        <v>16.001222728363189</v>
      </c>
      <c r="T8">
        <v>16.946134542144801</v>
      </c>
      <c r="U8">
        <v>17.89145507500545</v>
      </c>
      <c r="V8">
        <v>18.837184592187999</v>
      </c>
      <c r="W8">
        <v>19.783323359164921</v>
      </c>
      <c r="X8">
        <v>20.72987164163845</v>
      </c>
      <c r="Y8">
        <v>21.676829705540889</v>
      </c>
      <c r="Z8">
        <v>22.624197817034869</v>
      </c>
      <c r="AA8">
        <v>23.571976242513539</v>
      </c>
      <c r="AB8">
        <v>24.520165248600861</v>
      </c>
      <c r="AC8">
        <v>25.468765102151899</v>
      </c>
      <c r="AD8">
        <v>26.417776070252959</v>
      </c>
      <c r="AE8">
        <v>27.367198420221921</v>
      </c>
      <c r="AF8">
        <v>28.317032419608498</v>
      </c>
      <c r="AG8">
        <v>29.26727833619444</v>
      </c>
      <c r="AH8">
        <v>30.217936437993799</v>
      </c>
      <c r="AI8">
        <v>31.169006993253209</v>
      </c>
      <c r="AJ8">
        <v>32.120490270452088</v>
      </c>
      <c r="AK8">
        <v>33.072386538302972</v>
      </c>
      <c r="AL8">
        <v>34.024696065751662</v>
      </c>
      <c r="AM8">
        <v>34.977419121977562</v>
      </c>
      <c r="AN8">
        <v>35.930555976393897</v>
      </c>
      <c r="AO8">
        <v>36.884106898647957</v>
      </c>
      <c r="AP8">
        <v>37.838072158621401</v>
      </c>
      <c r="AQ8">
        <v>38.792452026430453</v>
      </c>
      <c r="AR8">
        <v>39.747246772426173</v>
      </c>
      <c r="AS8">
        <v>40.702456667194731</v>
      </c>
      <c r="AT8">
        <v>41.658081981557679</v>
      </c>
    </row>
    <row r="9" spans="1:47" x14ac:dyDescent="0.25">
      <c r="A9" s="1">
        <f t="shared" si="1"/>
        <v>44.399999999999984</v>
      </c>
      <c r="B9">
        <v>0</v>
      </c>
      <c r="C9">
        <v>1.006962560282614</v>
      </c>
      <c r="D9">
        <v>2.014390994775956</v>
      </c>
      <c r="E9">
        <v>3.022285626861958</v>
      </c>
      <c r="F9">
        <v>4.0306467802219164</v>
      </c>
      <c r="G9">
        <v>5.0394747788368424</v>
      </c>
      <c r="H9">
        <v>6.0487699469878047</v>
      </c>
      <c r="I9">
        <v>7.0585326092562788</v>
      </c>
      <c r="J9">
        <v>8.0687630905244934</v>
      </c>
      <c r="K9">
        <v>9.0794617159757838</v>
      </c>
      <c r="L9">
        <v>10.09062881109493</v>
      </c>
      <c r="M9">
        <v>11.102264701668529</v>
      </c>
      <c r="N9">
        <v>12.11436971378531</v>
      </c>
      <c r="O9">
        <v>13.12694417383651</v>
      </c>
      <c r="P9">
        <v>14.13998840851624</v>
      </c>
      <c r="Q9">
        <v>15.153502744821759</v>
      </c>
      <c r="R9">
        <v>16.167487510053959</v>
      </c>
      <c r="S9">
        <v>17.181943031817561</v>
      </c>
      <c r="T9">
        <v>18.196869638021621</v>
      </c>
      <c r="U9">
        <v>19.212267656879749</v>
      </c>
      <c r="V9">
        <v>20.22813741691056</v>
      </c>
      <c r="W9">
        <v>21.244479246937949</v>
      </c>
      <c r="X9">
        <v>22.261293476091559</v>
      </c>
      <c r="Y9">
        <v>23.278580433807001</v>
      </c>
      <c r="Z9">
        <v>24.2963404498263</v>
      </c>
      <c r="AA9">
        <v>25.314573854198208</v>
      </c>
      <c r="AB9">
        <v>26.333280977278601</v>
      </c>
      <c r="AC9">
        <v>27.352462149730819</v>
      </c>
      <c r="AD9">
        <v>28.372117702525991</v>
      </c>
      <c r="AE9">
        <v>29.392247966943419</v>
      </c>
      <c r="AF9">
        <v>30.412853274570971</v>
      </c>
      <c r="AG9">
        <v>31.433933957305371</v>
      </c>
      <c r="AH9">
        <v>32.455490347352629</v>
      </c>
      <c r="AI9">
        <v>33.477522777228337</v>
      </c>
      <c r="AJ9">
        <v>34.500031579758087</v>
      </c>
      <c r="AK9">
        <v>35.523017088077772</v>
      </c>
      <c r="AL9">
        <v>36.546479635634022</v>
      </c>
      <c r="AM9">
        <v>37.570419556184497</v>
      </c>
      <c r="AN9">
        <v>38.594837183798269</v>
      </c>
      <c r="AO9">
        <v>39.619732852856252</v>
      </c>
      <c r="AP9">
        <v>40.645106898051417</v>
      </c>
      <c r="AQ9">
        <v>41.670959654389343</v>
      </c>
      <c r="AR9">
        <v>42.697291457188427</v>
      </c>
      <c r="AS9">
        <v>43.724102642080332</v>
      </c>
      <c r="AT9">
        <v>44.751393545010288</v>
      </c>
    </row>
    <row r="10" spans="1:47" x14ac:dyDescent="0.25">
      <c r="A10" s="1">
        <f t="shared" si="1"/>
        <v>46.199999999999982</v>
      </c>
      <c r="B10">
        <v>0</v>
      </c>
      <c r="C10">
        <v>1.080351716571891</v>
      </c>
      <c r="D10">
        <v>2.161239698421253</v>
      </c>
      <c r="E10">
        <v>3.2426643449344672</v>
      </c>
      <c r="F10">
        <v>4.324626055894603</v>
      </c>
      <c r="G10">
        <v>5.407125231481916</v>
      </c>
      <c r="H10">
        <v>6.4901622722743424</v>
      </c>
      <c r="I10">
        <v>7.5737375792479851</v>
      </c>
      <c r="J10">
        <v>8.6578515537776148</v>
      </c>
      <c r="K10">
        <v>9.7425045976371738</v>
      </c>
      <c r="L10">
        <v>10.82769711300025</v>
      </c>
      <c r="M10">
        <v>11.913429502440589</v>
      </c>
      <c r="N10">
        <v>12.999702168932609</v>
      </c>
      <c r="O10">
        <v>14.08651551585185</v>
      </c>
      <c r="P10">
        <v>15.17386994697554</v>
      </c>
      <c r="Q10">
        <v>16.26176586648301</v>
      </c>
      <c r="R10">
        <v>17.350203678956291</v>
      </c>
      <c r="S10">
        <v>18.439183789380539</v>
      </c>
      <c r="T10">
        <v>19.528706603144592</v>
      </c>
      <c r="U10">
        <v>20.618772526041411</v>
      </c>
      <c r="V10">
        <v>21.709381964268641</v>
      </c>
      <c r="W10">
        <v>22.80053532442912</v>
      </c>
      <c r="X10">
        <v>23.8922330135313</v>
      </c>
      <c r="Y10">
        <v>24.98447543898985</v>
      </c>
      <c r="Z10">
        <v>26.07726300862614</v>
      </c>
      <c r="AA10">
        <v>27.170596130668699</v>
      </c>
      <c r="AB10">
        <v>28.264475213753759</v>
      </c>
      <c r="AC10">
        <v>29.358900666925809</v>
      </c>
      <c r="AD10">
        <v>30.453872899637989</v>
      </c>
      <c r="AE10">
        <v>31.54939232175272</v>
      </c>
      <c r="AF10">
        <v>32.64545934354215</v>
      </c>
      <c r="AG10">
        <v>33.742074375688688</v>
      </c>
      <c r="AH10">
        <v>34.839237829285487</v>
      </c>
      <c r="AI10">
        <v>35.93695011583705</v>
      </c>
      <c r="AJ10">
        <v>37.035211647259572</v>
      </c>
      <c r="AK10">
        <v>38.134022835881638</v>
      </c>
      <c r="AL10">
        <v>39.233384094444652</v>
      </c>
      <c r="AM10">
        <v>40.333295836103289</v>
      </c>
      <c r="AN10">
        <v>41.433758474426213</v>
      </c>
      <c r="AO10">
        <v>42.534772423396348</v>
      </c>
      <c r="AP10">
        <v>43.636338097411581</v>
      </c>
      <c r="AQ10">
        <v>44.738455911285207</v>
      </c>
      <c r="AR10">
        <v>45.841126280246471</v>
      </c>
      <c r="AS10">
        <v>46.944349619941022</v>
      </c>
      <c r="AT10">
        <v>48.048126346431573</v>
      </c>
    </row>
    <row r="11" spans="1:47" x14ac:dyDescent="0.25">
      <c r="A11" s="1">
        <f t="shared" si="1"/>
        <v>47.999999999999979</v>
      </c>
      <c r="B11">
        <v>0</v>
      </c>
      <c r="C11">
        <v>1.1584130186394419</v>
      </c>
      <c r="D11">
        <v>2.3174426095546909</v>
      </c>
      <c r="E11">
        <v>3.477089265138221</v>
      </c>
      <c r="F11">
        <v>4.6373534783069452</v>
      </c>
      <c r="G11">
        <v>5.7982357425029134</v>
      </c>
      <c r="H11">
        <v>6.9597365516940073</v>
      </c>
      <c r="I11">
        <v>8.1218564003746447</v>
      </c>
      <c r="J11">
        <v>9.2845957835664858</v>
      </c>
      <c r="K11">
        <v>10.44795519681912</v>
      </c>
      <c r="L11">
        <v>11.611935136210789</v>
      </c>
      <c r="M11">
        <v>12.77653609834908</v>
      </c>
      <c r="N11">
        <v>13.941758580371641</v>
      </c>
      <c r="O11">
        <v>15.10760307994688</v>
      </c>
      <c r="P11">
        <v>16.274070095274659</v>
      </c>
      <c r="Q11">
        <v>17.441160125087059</v>
      </c>
      <c r="R11">
        <v>18.608873668649011</v>
      </c>
      <c r="S11">
        <v>19.777211225759089</v>
      </c>
      <c r="T11">
        <v>20.94617329675015</v>
      </c>
      <c r="U11">
        <v>22.115760382490091</v>
      </c>
      <c r="V11">
        <v>23.285972984382578</v>
      </c>
      <c r="W11">
        <v>24.456811604367712</v>
      </c>
      <c r="X11">
        <v>25.628276744922779</v>
      </c>
      <c r="Y11">
        <v>26.800368909062978</v>
      </c>
      <c r="Z11">
        <v>27.973088600342109</v>
      </c>
      <c r="AA11">
        <v>29.14643632285334</v>
      </c>
      <c r="AB11">
        <v>30.320412581229871</v>
      </c>
      <c r="AC11">
        <v>31.49501788064569</v>
      </c>
      <c r="AD11">
        <v>32.670252726816322</v>
      </c>
      <c r="AE11">
        <v>33.846117625999518</v>
      </c>
      <c r="AF11">
        <v>35.022613084995982</v>
      </c>
      <c r="AG11">
        <v>36.199739611150093</v>
      </c>
      <c r="AH11">
        <v>37.377497712350703</v>
      </c>
      <c r="AI11">
        <v>38.555887897031788</v>
      </c>
      <c r="AJ11">
        <v>39.734910674173157</v>
      </c>
      <c r="AK11">
        <v>40.914566553301327</v>
      </c>
      <c r="AL11">
        <v>42.094856044490108</v>
      </c>
      <c r="AM11">
        <v>43.275779658361401</v>
      </c>
      <c r="AN11">
        <v>44.457337906085932</v>
      </c>
      <c r="AO11">
        <v>45.639531299383989</v>
      </c>
      <c r="AP11">
        <v>46.822360350526161</v>
      </c>
      <c r="AQ11">
        <v>48.005825572334061</v>
      </c>
      <c r="AR11">
        <v>49.189927478181083</v>
      </c>
      <c r="AS11">
        <v>50.374666581993147</v>
      </c>
      <c r="AT11">
        <v>51.560043398249462</v>
      </c>
    </row>
    <row r="12" spans="1:47" x14ac:dyDescent="0.25">
      <c r="A12" s="1">
        <f t="shared" si="1"/>
        <v>49.799999999999976</v>
      </c>
      <c r="B12">
        <v>0</v>
      </c>
      <c r="C12">
        <v>1.2413987243617399</v>
      </c>
      <c r="D12">
        <v>2.4835055379763018</v>
      </c>
      <c r="E12">
        <v>3.7263210468537671</v>
      </c>
      <c r="F12">
        <v>4.9698458576959386</v>
      </c>
      <c r="G12">
        <v>6.214080577897338</v>
      </c>
      <c r="H12">
        <v>7.4590258155461857</v>
      </c>
      <c r="I12">
        <v>8.7046821794253972</v>
      </c>
      <c r="J12">
        <v>9.9510502790135771</v>
      </c>
      <c r="K12">
        <v>11.198130724486001</v>
      </c>
      <c r="L12">
        <v>12.445924126715621</v>
      </c>
      <c r="M12">
        <v>13.694431097274069</v>
      </c>
      <c r="N12">
        <v>14.943652248432659</v>
      </c>
      <c r="O12">
        <v>16.19358819316334</v>
      </c>
      <c r="P12">
        <v>17.44423954513978</v>
      </c>
      <c r="Q12">
        <v>18.695606918738289</v>
      </c>
      <c r="R12">
        <v>19.947690929038892</v>
      </c>
      <c r="S12">
        <v>21.200492191826289</v>
      </c>
      <c r="T12">
        <v>22.45401132359089</v>
      </c>
      <c r="U12">
        <v>23.708248941529831</v>
      </c>
      <c r="V12">
        <v>24.963205663547949</v>
      </c>
      <c r="W12">
        <v>26.218882108258839</v>
      </c>
      <c r="X12">
        <v>27.475278894985859</v>
      </c>
      <c r="Y12">
        <v>28.732396643763131</v>
      </c>
      <c r="Z12">
        <v>29.990235975336571</v>
      </c>
      <c r="AA12">
        <v>31.248797511164941</v>
      </c>
      <c r="AB12">
        <v>32.508081873420807</v>
      </c>
      <c r="AC12">
        <v>33.768089684991629</v>
      </c>
      <c r="AD12">
        <v>35.028821569480733</v>
      </c>
      <c r="AE12">
        <v>36.290278151208419</v>
      </c>
      <c r="AF12">
        <v>37.552460055212883</v>
      </c>
      <c r="AG12">
        <v>38.815367907251343</v>
      </c>
      <c r="AH12">
        <v>40.079002333800993</v>
      </c>
      <c r="AI12">
        <v>41.343363962060153</v>
      </c>
      <c r="AJ12">
        <v>42.608453419949193</v>
      </c>
      <c r="AK12">
        <v>43.874271336111583</v>
      </c>
      <c r="AL12">
        <v>45.14081833991505</v>
      </c>
      <c r="AM12">
        <v>46.408095061452457</v>
      </c>
      <c r="AN12">
        <v>47.67610213154299</v>
      </c>
      <c r="AO12">
        <v>48.944840181733099</v>
      </c>
      <c r="AP12">
        <v>50.214309844297617</v>
      </c>
      <c r="AQ12">
        <v>51.484511752240792</v>
      </c>
      <c r="AR12">
        <v>52.755446539297282</v>
      </c>
      <c r="AS12">
        <v>54.027114839933319</v>
      </c>
      <c r="AT12">
        <v>55.299517289347683</v>
      </c>
    </row>
    <row r="13" spans="1:47" x14ac:dyDescent="0.25">
      <c r="A13" s="1">
        <f t="shared" si="1"/>
        <v>51.599999999999973</v>
      </c>
      <c r="B13">
        <v>0</v>
      </c>
      <c r="C13">
        <v>1.3295720969317659</v>
      </c>
      <c r="D13">
        <v>2.6599564593406551</v>
      </c>
      <c r="E13">
        <v>3.991153831800959</v>
      </c>
      <c r="F13">
        <v>5.3231649597972837</v>
      </c>
      <c r="G13">
        <v>6.6559905897259313</v>
      </c>
      <c r="H13">
        <v>7.9896314688963068</v>
      </c>
      <c r="I13">
        <v>9.3240883455323029</v>
      </c>
      <c r="J13">
        <v>10.659361968773711</v>
      </c>
      <c r="K13">
        <v>11.9954530886776</v>
      </c>
      <c r="L13">
        <v>13.33236245621976</v>
      </c>
      <c r="M13">
        <v>14.67009082329607</v>
      </c>
      <c r="N13">
        <v>16.008638942723941</v>
      </c>
      <c r="O13">
        <v>17.348007568243681</v>
      </c>
      <c r="P13">
        <v>18.68819745451998</v>
      </c>
      <c r="Q13">
        <v>20.029209357143252</v>
      </c>
      <c r="R13">
        <v>21.371044032631112</v>
      </c>
      <c r="S13">
        <v>22.713702238429761</v>
      </c>
      <c r="T13">
        <v>24.057184732915449</v>
      </c>
      <c r="U13">
        <v>25.40149227539586</v>
      </c>
      <c r="V13">
        <v>26.74662562611157</v>
      </c>
      <c r="W13">
        <v>28.09258554623749</v>
      </c>
      <c r="X13">
        <v>29.43937279788425</v>
      </c>
      <c r="Y13">
        <v>30.786988144099709</v>
      </c>
      <c r="Z13">
        <v>32.135432348870339</v>
      </c>
      <c r="AA13">
        <v>33.484706177122703</v>
      </c>
      <c r="AB13">
        <v>34.834810394724862</v>
      </c>
      <c r="AC13">
        <v>36.185745768487877</v>
      </c>
      <c r="AD13">
        <v>37.537513066167243</v>
      </c>
      <c r="AE13">
        <v>38.89011305646428</v>
      </c>
      <c r="AF13">
        <v>40.243546509027723</v>
      </c>
      <c r="AG13">
        <v>41.597814194455033</v>
      </c>
      <c r="AH13">
        <v>42.952916884293963</v>
      </c>
      <c r="AI13">
        <v>44.308855351043988</v>
      </c>
      <c r="AJ13">
        <v>45.665630368157757</v>
      </c>
      <c r="AK13">
        <v>47.023242710042631</v>
      </c>
      <c r="AL13">
        <v>48.381693152062027</v>
      </c>
      <c r="AM13">
        <v>49.740982470537077</v>
      </c>
      <c r="AN13">
        <v>51.101111442747879</v>
      </c>
      <c r="AO13">
        <v>52.462080846935201</v>
      </c>
      <c r="AP13">
        <v>53.823891462301837</v>
      </c>
      <c r="AQ13">
        <v>55.186544069014133</v>
      </c>
      <c r="AR13">
        <v>56.550039448203442</v>
      </c>
      <c r="AS13">
        <v>57.914378381967673</v>
      </c>
      <c r="AT13">
        <v>59.279561653372717</v>
      </c>
    </row>
    <row r="14" spans="1:47" x14ac:dyDescent="0.25">
      <c r="A14" s="1">
        <f t="shared" si="1"/>
        <v>53.39999999999997</v>
      </c>
      <c r="B14">
        <v>0</v>
      </c>
      <c r="C14">
        <v>1.423207758228348</v>
      </c>
      <c r="D14">
        <v>2.8473462388401312</v>
      </c>
      <c r="E14">
        <v>4.2724163551182004</v>
      </c>
      <c r="F14">
        <v>5.6984190215406931</v>
      </c>
      <c r="G14">
        <v>7.1253551537829827</v>
      </c>
      <c r="H14">
        <v>8.553225668719648</v>
      </c>
      <c r="I14">
        <v>9.9820314844264288</v>
      </c>
      <c r="J14">
        <v>11.4117735201822</v>
      </c>
      <c r="K14">
        <v>12.84245269647093</v>
      </c>
      <c r="L14">
        <v>14.27406993498367</v>
      </c>
      <c r="M14">
        <v>15.70662615862055</v>
      </c>
      <c r="N14">
        <v>17.140122291492709</v>
      </c>
      <c r="O14">
        <v>18.574559258924349</v>
      </c>
      <c r="P14">
        <v>20.009937987454649</v>
      </c>
      <c r="Q14">
        <v>21.446259404839829</v>
      </c>
      <c r="R14">
        <v>22.88352444005513</v>
      </c>
      <c r="S14">
        <v>24.321734023296781</v>
      </c>
      <c r="T14">
        <v>25.760889085984061</v>
      </c>
      <c r="U14">
        <v>27.200990560761269</v>
      </c>
      <c r="V14">
        <v>28.64203938149975</v>
      </c>
      <c r="W14">
        <v>30.084036483299911</v>
      </c>
      <c r="X14">
        <v>31.52698280249329</v>
      </c>
      <c r="Y14">
        <v>32.970879276644467</v>
      </c>
      <c r="Z14">
        <v>34.415726844553241</v>
      </c>
      <c r="AA14">
        <v>35.861526446256541</v>
      </c>
      <c r="AB14">
        <v>37.308279023030543</v>
      </c>
      <c r="AC14">
        <v>38.755985517392674</v>
      </c>
      <c r="AD14">
        <v>40.20464687310367</v>
      </c>
      <c r="AE14">
        <v>41.654264035169632</v>
      </c>
      <c r="AF14">
        <v>43.104837949844097</v>
      </c>
      <c r="AG14">
        <v>44.55636956463001</v>
      </c>
      <c r="AH14">
        <v>46.008859828281949</v>
      </c>
      <c r="AI14">
        <v>47.462309690808013</v>
      </c>
      <c r="AJ14">
        <v>48.916720103472002</v>
      </c>
      <c r="AK14">
        <v>50.372092018795477</v>
      </c>
      <c r="AL14">
        <v>51.828426390559827</v>
      </c>
      <c r="AM14">
        <v>53.285724173808347</v>
      </c>
      <c r="AN14">
        <v>54.743986324848358</v>
      </c>
      <c r="AO14">
        <v>56.203213801253227</v>
      </c>
      <c r="AP14">
        <v>57.663407561864538</v>
      </c>
      <c r="AQ14">
        <v>59.12456856679416</v>
      </c>
      <c r="AR14">
        <v>60.586697777426373</v>
      </c>
      <c r="AS14">
        <v>62.049796156419951</v>
      </c>
      <c r="AT14">
        <v>63.513864667710237</v>
      </c>
    </row>
    <row r="15" spans="1:47" x14ac:dyDescent="0.25">
      <c r="A15" s="1">
        <f t="shared" si="1"/>
        <v>55.199999999999967</v>
      </c>
      <c r="B15">
        <v>0</v>
      </c>
      <c r="C15">
        <v>1.522592048694408</v>
      </c>
      <c r="D15">
        <v>3.046249369568065</v>
      </c>
      <c r="E15">
        <v>4.5709730809789058</v>
      </c>
      <c r="F15">
        <v>6.0967643028508656</v>
      </c>
      <c r="G15">
        <v>7.6236241566766267</v>
      </c>
      <c r="H15">
        <v>9.1515537655203563</v>
      </c>
      <c r="I15">
        <v>10.680554254020461</v>
      </c>
      <c r="J15">
        <v>12.21062674839237</v>
      </c>
      <c r="K15">
        <v>13.74177237643125</v>
      </c>
      <c r="L15">
        <v>15.27399226751483</v>
      </c>
      <c r="M15">
        <v>16.807287552606152</v>
      </c>
      <c r="N15">
        <v>18.341659364256341</v>
      </c>
      <c r="O15">
        <v>19.87710883660743</v>
      </c>
      <c r="P15">
        <v>21.4136371053951</v>
      </c>
      <c r="Q15">
        <v>22.95124530795157</v>
      </c>
      <c r="R15">
        <v>24.489934583208282</v>
      </c>
      <c r="S15">
        <v>26.029706071698818</v>
      </c>
      <c r="T15">
        <v>27.570560915561671</v>
      </c>
      <c r="U15">
        <v>29.112500258543069</v>
      </c>
      <c r="V15">
        <v>30.655525245999812</v>
      </c>
      <c r="W15">
        <v>32.19963702490211</v>
      </c>
      <c r="X15">
        <v>33.744836743836423</v>
      </c>
      <c r="Y15">
        <v>35.2911255530083</v>
      </c>
      <c r="Z15">
        <v>36.838504604245273</v>
      </c>
      <c r="AA15">
        <v>38.386975050999617</v>
      </c>
      <c r="AB15">
        <v>39.936538048351373</v>
      </c>
      <c r="AC15">
        <v>41.487194753011053</v>
      </c>
      <c r="AD15">
        <v>43.038946323322641</v>
      </c>
      <c r="AE15">
        <v>44.591793919266429</v>
      </c>
      <c r="AF15">
        <v>46.145738702461898</v>
      </c>
      <c r="AG15">
        <v>47.700781836170627</v>
      </c>
      <c r="AH15">
        <v>49.256924485299209</v>
      </c>
      <c r="AI15">
        <v>50.814167816402133</v>
      </c>
      <c r="AJ15">
        <v>52.372512997684723</v>
      </c>
      <c r="AK15">
        <v>53.931961199006047</v>
      </c>
      <c r="AL15">
        <v>55.492513591881867</v>
      </c>
      <c r="AM15">
        <v>57.054171349487532</v>
      </c>
      <c r="AN15">
        <v>58.616935646660878</v>
      </c>
      <c r="AO15">
        <v>60.180807659905362</v>
      </c>
      <c r="AP15">
        <v>61.745788567392808</v>
      </c>
      <c r="AQ15">
        <v>63.311879548966417</v>
      </c>
      <c r="AR15">
        <v>64.879081786143857</v>
      </c>
      <c r="AS15">
        <v>66.447396462120039</v>
      </c>
      <c r="AT15">
        <v>68.016824761770238</v>
      </c>
    </row>
    <row r="16" spans="1:47" x14ac:dyDescent="0.25">
      <c r="A16" s="1">
        <f t="shared" si="1"/>
        <v>56.999999999999964</v>
      </c>
      <c r="B16">
        <v>0</v>
      </c>
      <c r="C16">
        <v>1.6280233937225901</v>
      </c>
      <c r="D16">
        <v>3.2572647257026408</v>
      </c>
      <c r="E16">
        <v>4.8877253631766537</v>
      </c>
      <c r="F16">
        <v>6.5194066754283391</v>
      </c>
      <c r="G16">
        <v>8.152310033792455</v>
      </c>
      <c r="H16">
        <v>9.7864368116586533</v>
      </c>
      <c r="I16">
        <v>11.42178838447532</v>
      </c>
      <c r="J16">
        <v>13.058366129753439</v>
      </c>
      <c r="K16">
        <v>14.696171427070469</v>
      </c>
      <c r="L16">
        <v>16.335205658074209</v>
      </c>
      <c r="M16">
        <v>17.975470206486669</v>
      </c>
      <c r="N16">
        <v>19.616966458107999</v>
      </c>
      <c r="O16">
        <v>21.259695800820381</v>
      </c>
      <c r="P16">
        <v>22.903659624591921</v>
      </c>
      <c r="Q16">
        <v>24.54885932148057</v>
      </c>
      <c r="R16">
        <v>26.195296285638079</v>
      </c>
      <c r="S16">
        <v>27.842971913313921</v>
      </c>
      <c r="T16">
        <v>29.491887602859251</v>
      </c>
      <c r="U16">
        <v>31.142044754730819</v>
      </c>
      <c r="V16">
        <v>32.793444771494997</v>
      </c>
      <c r="W16">
        <v>34.446089057831713</v>
      </c>
      <c r="X16">
        <v>36.099979020538441</v>
      </c>
      <c r="Y16">
        <v>37.755116068534193</v>
      </c>
      <c r="Z16">
        <v>39.411501612863511</v>
      </c>
      <c r="AA16">
        <v>41.069137066700499</v>
      </c>
      <c r="AB16">
        <v>42.728023845352851</v>
      </c>
      <c r="AC16">
        <v>44.388163366265822</v>
      </c>
      <c r="AD16">
        <v>46.049557049026312</v>
      </c>
      <c r="AE16">
        <v>47.712206315366913</v>
      </c>
      <c r="AF16">
        <v>49.376112589169928</v>
      </c>
      <c r="AG16">
        <v>51.041277296471499</v>
      </c>
      <c r="AH16">
        <v>52.707701865465623</v>
      </c>
      <c r="AI16">
        <v>54.375387726508229</v>
      </c>
      <c r="AJ16">
        <v>56.044336312121359</v>
      </c>
      <c r="AK16">
        <v>57.714549056997107</v>
      </c>
      <c r="AL16">
        <v>59.386027398001957</v>
      </c>
      <c r="AM16">
        <v>61.058772774180667</v>
      </c>
      <c r="AN16">
        <v>62.732786626760578</v>
      </c>
      <c r="AO16">
        <v>64.408070399155619</v>
      </c>
      <c r="AP16">
        <v>66.08462553697062</v>
      </c>
      <c r="AQ16">
        <v>67.762453488005235</v>
      </c>
      <c r="AR16">
        <v>69.44155570225837</v>
      </c>
      <c r="AS16">
        <v>71.12193363193218</v>
      </c>
      <c r="AT16">
        <v>72.803588731436264</v>
      </c>
    </row>
    <row r="17" spans="1:46" x14ac:dyDescent="0.25">
      <c r="A17" s="1">
        <f t="shared" si="1"/>
        <v>58.799999999999962</v>
      </c>
      <c r="B17">
        <v>0</v>
      </c>
      <c r="C17">
        <v>1.739812676547007</v>
      </c>
      <c r="D17">
        <v>3.4810163306639148</v>
      </c>
      <c r="E17">
        <v>5.2236126311444808</v>
      </c>
      <c r="F17">
        <v>6.9676032494529876</v>
      </c>
      <c r="G17">
        <v>8.7129898597295981</v>
      </c>
      <c r="H17">
        <v>10.4597741387957</v>
      </c>
      <c r="I17">
        <v>12.207957766159289</v>
      </c>
      <c r="J17">
        <v>13.95754242402035</v>
      </c>
      <c r="K17">
        <v>15.70852979727624</v>
      </c>
      <c r="L17">
        <v>17.460921573527099</v>
      </c>
      <c r="M17">
        <v>19.2147194430813</v>
      </c>
      <c r="N17">
        <v>20.96992509896085</v>
      </c>
      <c r="O17">
        <v>22.726540236906839</v>
      </c>
      <c r="P17">
        <v>24.48456655538493</v>
      </c>
      <c r="Q17">
        <v>26.244005755590791</v>
      </c>
      <c r="R17">
        <v>28.00485954145563</v>
      </c>
      <c r="S17">
        <v>29.767129619651669</v>
      </c>
      <c r="T17">
        <v>31.53081769959763</v>
      </c>
      <c r="U17">
        <v>33.295925493464352</v>
      </c>
      <c r="V17">
        <v>35.062454716180198</v>
      </c>
      <c r="W17">
        <v>36.83040708543674</v>
      </c>
      <c r="X17">
        <v>38.599784321694273</v>
      </c>
      <c r="Y17">
        <v>40.370588148187323</v>
      </c>
      <c r="Z17">
        <v>42.142820290930374</v>
      </c>
      <c r="AA17">
        <v>43.916482478723417</v>
      </c>
      <c r="AB17">
        <v>45.69157644315753</v>
      </c>
      <c r="AC17">
        <v>47.468103918620557</v>
      </c>
      <c r="AD17">
        <v>49.246066642302779</v>
      </c>
      <c r="AE17">
        <v>51.025466354202507</v>
      </c>
      <c r="AF17">
        <v>52.806304797131823</v>
      </c>
      <c r="AG17">
        <v>54.588583716722248</v>
      </c>
      <c r="AH17">
        <v>56.372304861430429</v>
      </c>
      <c r="AI17">
        <v>58.15746998254388</v>
      </c>
      <c r="AJ17">
        <v>59.944080834186693</v>
      </c>
      <c r="AK17">
        <v>61.732139173325272</v>
      </c>
      <c r="AL17">
        <v>63.521646759774207</v>
      </c>
      <c r="AM17">
        <v>65.312605356201828</v>
      </c>
      <c r="AN17">
        <v>67.105016728136235</v>
      </c>
      <c r="AO17">
        <v>68.898882643970921</v>
      </c>
      <c r="AP17">
        <v>70.694204874970652</v>
      </c>
      <c r="AQ17">
        <v>72.49098519527729</v>
      </c>
      <c r="AR17">
        <v>74.289225381915685</v>
      </c>
      <c r="AS17">
        <v>76.088927214799455</v>
      </c>
      <c r="AT17">
        <v>77.890092476736925</v>
      </c>
    </row>
    <row r="18" spans="1:46" x14ac:dyDescent="0.25">
      <c r="A18" s="1">
        <f t="shared" si="1"/>
        <v>60.599999999999959</v>
      </c>
      <c r="B18">
        <v>0</v>
      </c>
      <c r="C18">
        <v>1.8582836176407389</v>
      </c>
      <c r="D18">
        <v>3.7181541404094038</v>
      </c>
      <c r="E18">
        <v>5.5796136019112854</v>
      </c>
      <c r="F18">
        <v>7.4426640392278882</v>
      </c>
      <c r="G18">
        <v>9.3073074929243642</v>
      </c>
      <c r="H18">
        <v>11.17354600705697</v>
      </c>
      <c r="I18">
        <v>13.041381629180499</v>
      </c>
      <c r="J18">
        <v>14.91081641035584</v>
      </c>
      <c r="K18">
        <v>16.781852405157409</v>
      </c>
      <c r="L18">
        <v>18.654491671680731</v>
      </c>
      <c r="M18">
        <v>20.528736271549949</v>
      </c>
      <c r="N18">
        <v>22.404588269925409</v>
      </c>
      <c r="O18">
        <v>24.282049735511251</v>
      </c>
      <c r="P18">
        <v>26.161122740563009</v>
      </c>
      <c r="Q18">
        <v>28.04180936089519</v>
      </c>
      <c r="R18">
        <v>29.92411167588903</v>
      </c>
      <c r="S18">
        <v>31.808031768500008</v>
      </c>
      <c r="T18">
        <v>33.69357172526567</v>
      </c>
      <c r="U18">
        <v>35.580733636313226</v>
      </c>
      <c r="V18">
        <v>37.469519595367352</v>
      </c>
      <c r="W18">
        <v>39.359931699757873</v>
      </c>
      <c r="X18">
        <v>41.251972050427547</v>
      </c>
      <c r="Y18">
        <v>43.145642751939867</v>
      </c>
      <c r="Z18">
        <v>45.040945912486841</v>
      </c>
      <c r="AA18">
        <v>46.937883643896853</v>
      </c>
      <c r="AB18">
        <v>48.836458061642404</v>
      </c>
      <c r="AC18">
        <v>50.736671284848121</v>
      </c>
      <c r="AD18">
        <v>52.638525436298558</v>
      </c>
      <c r="AE18">
        <v>54.542022642446057</v>
      </c>
      <c r="AF18">
        <v>56.447165033418798</v>
      </c>
      <c r="AG18">
        <v>58.353954743028659</v>
      </c>
      <c r="AH18">
        <v>60.262393908779153</v>
      </c>
      <c r="AI18">
        <v>62.172484671873477</v>
      </c>
      <c r="AJ18">
        <v>64.084229177222568</v>
      </c>
      <c r="AK18">
        <v>65.997629573452969</v>
      </c>
      <c r="AL18">
        <v>67.912688012915069</v>
      </c>
      <c r="AM18">
        <v>69.829406651691002</v>
      </c>
      <c r="AN18">
        <v>71.74778764960287</v>
      </c>
      <c r="AO18">
        <v>73.667833170220788</v>
      </c>
      <c r="AP18">
        <v>75.589545380871002</v>
      </c>
      <c r="AQ18">
        <v>77.512926452644137</v>
      </c>
      <c r="AR18">
        <v>79.437978560403266</v>
      </c>
      <c r="AS18">
        <v>81.364703882792142</v>
      </c>
      <c r="AT18">
        <v>83.293104602243474</v>
      </c>
    </row>
    <row r="19" spans="1:46" x14ac:dyDescent="0.25">
      <c r="A19" s="1">
        <f t="shared" si="1"/>
        <v>62.399999999999956</v>
      </c>
      <c r="B19">
        <v>0</v>
      </c>
      <c r="C19">
        <v>1.9837731606197571</v>
      </c>
      <c r="D19">
        <v>3.96935484204811</v>
      </c>
      <c r="E19">
        <v>5.9567475185390437</v>
      </c>
      <c r="F19">
        <v>7.9459536688619963</v>
      </c>
      <c r="G19">
        <v>9.9369757763121775</v>
      </c>
      <c r="H19">
        <v>11.92981632872088</v>
      </c>
      <c r="I19">
        <v>13.92447781846588</v>
      </c>
      <c r="J19">
        <v>15.920962742481789</v>
      </c>
      <c r="K19">
        <v>17.91927360227049</v>
      </c>
      <c r="L19">
        <v>19.91941290391156</v>
      </c>
      <c r="M19">
        <v>21.921383158072832</v>
      </c>
      <c r="N19">
        <v>23.925186880020771</v>
      </c>
      <c r="O19">
        <v>25.93082658963111</v>
      </c>
      <c r="P19">
        <v>27.938304811399359</v>
      </c>
      <c r="Q19">
        <v>29.947624074451429</v>
      </c>
      <c r="R19">
        <v>31.958786912554221</v>
      </c>
      <c r="S19">
        <v>33.971795864126342</v>
      </c>
      <c r="T19">
        <v>35.986653472248669</v>
      </c>
      <c r="U19">
        <v>38.003362284675163</v>
      </c>
      <c r="V19">
        <v>40.021924853843579</v>
      </c>
      <c r="W19">
        <v>42.04234373688621</v>
      </c>
      <c r="X19">
        <v>44.064621495640687</v>
      </c>
      <c r="Y19">
        <v>46.088760696660877</v>
      </c>
      <c r="Z19">
        <v>48.114763911227627</v>
      </c>
      <c r="AA19">
        <v>50.142633715359707</v>
      </c>
      <c r="AB19">
        <v>52.172372689824783</v>
      </c>
      <c r="AC19">
        <v>54.203983420150273</v>
      </c>
      <c r="AD19">
        <v>56.237468496634357</v>
      </c>
      <c r="AE19">
        <v>58.272830514357032</v>
      </c>
      <c r="AF19">
        <v>60.310072073191101</v>
      </c>
      <c r="AG19">
        <v>62.349195777813193</v>
      </c>
      <c r="AH19">
        <v>64.390204237715025</v>
      </c>
      <c r="AI19">
        <v>66.433100067214355</v>
      </c>
      <c r="AJ19">
        <v>68.477885885466264</v>
      </c>
      <c r="AK19">
        <v>70.524564316474311</v>
      </c>
      <c r="AL19">
        <v>72.57313798910171</v>
      </c>
      <c r="AM19">
        <v>74.623609537082672</v>
      </c>
      <c r="AN19">
        <v>76.675981599033648</v>
      </c>
      <c r="AO19">
        <v>78.730256818464625</v>
      </c>
      <c r="AP19">
        <v>80.786437843790509</v>
      </c>
      <c r="AQ19">
        <v>82.84452732834248</v>
      </c>
      <c r="AR19">
        <v>84.904527930379473</v>
      </c>
      <c r="AS19">
        <v>86.96644231309952</v>
      </c>
      <c r="AT19">
        <v>89.030273144651289</v>
      </c>
    </row>
    <row r="20" spans="1:46" x14ac:dyDescent="0.25">
      <c r="A20" s="1">
        <f t="shared" si="1"/>
        <v>64.19999999999996</v>
      </c>
      <c r="B20">
        <v>0</v>
      </c>
      <c r="C20">
        <v>2.1166318646555502</v>
      </c>
      <c r="D20">
        <v>4.2353226679689131</v>
      </c>
      <c r="E20">
        <v>6.35607541562897</v>
      </c>
      <c r="F20">
        <v>8.4788931191778225</v>
      </c>
      <c r="G20">
        <v>10.60377879602504</v>
      </c>
      <c r="H20">
        <v>12.73073546946196</v>
      </c>
      <c r="I20">
        <v>14.85976616867606</v>
      </c>
      <c r="J20">
        <v>16.99087392876525</v>
      </c>
      <c r="K20">
        <v>19.1240617907524</v>
      </c>
      <c r="L20">
        <v>21.25933280159974</v>
      </c>
      <c r="M20">
        <v>23.396690014223388</v>
      </c>
      <c r="N20">
        <v>25.536136487507889</v>
      </c>
      <c r="O20">
        <v>27.67767528632081</v>
      </c>
      <c r="P20">
        <v>29.8213094815274</v>
      </c>
      <c r="Q20">
        <v>31.967042150005241</v>
      </c>
      <c r="R20">
        <v>34.114876374658941</v>
      </c>
      <c r="S20">
        <v>36.264815244434999</v>
      </c>
      <c r="T20">
        <v>38.416861854336481</v>
      </c>
      <c r="U20">
        <v>40.571019305437993</v>
      </c>
      <c r="V20">
        <v>42.727290704900483</v>
      </c>
      <c r="W20">
        <v>44.885679165986261</v>
      </c>
      <c r="X20">
        <v>47.046187808073903</v>
      </c>
      <c r="Y20">
        <v>49.208819756673293</v>
      </c>
      <c r="Z20">
        <v>51.373578143440803</v>
      </c>
      <c r="AA20">
        <v>53.540466106194238</v>
      </c>
      <c r="AB20">
        <v>55.709486788928153</v>
      </c>
      <c r="AC20">
        <v>57.880643341828929</v>
      </c>
      <c r="AD20">
        <v>60.053938921290118</v>
      </c>
      <c r="AE20">
        <v>62.229376689927683</v>
      </c>
      <c r="AF20">
        <v>64.406959816595403</v>
      </c>
      <c r="AG20">
        <v>66.586691476400148</v>
      </c>
      <c r="AH20">
        <v>68.768574850717457</v>
      </c>
      <c r="AI20">
        <v>70.952613127206845</v>
      </c>
      <c r="AJ20">
        <v>73.138809499827545</v>
      </c>
      <c r="AK20">
        <v>75.327167168853805</v>
      </c>
      <c r="AL20">
        <v>77.517689340890783</v>
      </c>
      <c r="AM20">
        <v>79.710379228889977</v>
      </c>
      <c r="AN20">
        <v>81.905240052165126</v>
      </c>
      <c r="AO20">
        <v>84.102275036407789</v>
      </c>
      <c r="AP20">
        <v>86.301487413703285</v>
      </c>
      <c r="AQ20">
        <v>88.50288042254644</v>
      </c>
      <c r="AR20">
        <v>90.706457307857619</v>
      </c>
      <c r="AS20">
        <v>92.912221320998469</v>
      </c>
      <c r="AT20">
        <v>95.120175719788136</v>
      </c>
    </row>
    <row r="21" spans="1:46" x14ac:dyDescent="0.25">
      <c r="A21" s="1">
        <f t="shared" si="1"/>
        <v>65.999999999999957</v>
      </c>
      <c r="B21">
        <v>0</v>
      </c>
      <c r="C21">
        <v>2.257224303400764</v>
      </c>
      <c r="D21">
        <v>4.5167902256969823</v>
      </c>
      <c r="E21">
        <v>6.7787014125329623</v>
      </c>
      <c r="F21">
        <v>9.0429615171247661</v>
      </c>
      <c r="G21">
        <v>11.309574200279879</v>
      </c>
      <c r="H21">
        <v>13.57854313041693</v>
      </c>
      <c r="I21">
        <v>15.849871983585521</v>
      </c>
      <c r="J21">
        <v>18.123564443486</v>
      </c>
      <c r="K21">
        <v>20.399624201489459</v>
      </c>
      <c r="L21">
        <v>22.678054956657679</v>
      </c>
      <c r="M21">
        <v>24.95886041576313</v>
      </c>
      <c r="N21">
        <v>27.24204429330916</v>
      </c>
      <c r="O21">
        <v>29.52761031155007</v>
      </c>
      <c r="P21">
        <v>31.81556220051138</v>
      </c>
      <c r="Q21">
        <v>34.105903698010167</v>
      </c>
      <c r="R21">
        <v>36.398638549675297</v>
      </c>
      <c r="S21">
        <v>38.693770508967987</v>
      </c>
      <c r="T21">
        <v>40.991303337202211</v>
      </c>
      <c r="U21">
        <v>43.291240803565209</v>
      </c>
      <c r="V21">
        <v>45.593586685138213</v>
      </c>
      <c r="W21">
        <v>47.898344766916978</v>
      </c>
      <c r="X21">
        <v>50.205518841832721</v>
      </c>
      <c r="Y21">
        <v>52.515112710772677</v>
      </c>
      <c r="Z21">
        <v>54.827130182601202</v>
      </c>
      <c r="AA21">
        <v>57.141575074180558</v>
      </c>
      <c r="AB21">
        <v>59.458451210392013</v>
      </c>
      <c r="AC21">
        <v>61.777762424156812</v>
      </c>
      <c r="AD21">
        <v>64.099512556457398</v>
      </c>
      <c r="AE21">
        <v>66.423705456358675</v>
      </c>
      <c r="AF21">
        <v>68.750344981029045</v>
      </c>
      <c r="AG21">
        <v>71.079434995761972</v>
      </c>
      <c r="AH21">
        <v>73.410979373997307</v>
      </c>
      <c r="AI21">
        <v>75.744981997342762</v>
      </c>
      <c r="AJ21">
        <v>78.081446755595437</v>
      </c>
      <c r="AK21">
        <v>80.420377546763433</v>
      </c>
      <c r="AL21">
        <v>82.761778277087544</v>
      </c>
      <c r="AM21">
        <v>85.105652861063049</v>
      </c>
      <c r="AN21">
        <v>87.452005221461363</v>
      </c>
      <c r="AO21">
        <v>89.80083928935214</v>
      </c>
      <c r="AP21">
        <v>92.152159004125096</v>
      </c>
      <c r="AQ21">
        <v>94.505968313512014</v>
      </c>
      <c r="AR21">
        <v>96.862271173608903</v>
      </c>
      <c r="AS21">
        <v>99.221071548898195</v>
      </c>
      <c r="AT21">
        <v>101.5823734122708</v>
      </c>
    </row>
    <row r="22" spans="1:46" x14ac:dyDescent="0.25">
      <c r="A22" s="1">
        <f t="shared" si="1"/>
        <v>67.799999999999955</v>
      </c>
      <c r="B22">
        <v>0</v>
      </c>
      <c r="C22">
        <v>2.405929470434538</v>
      </c>
      <c r="D22">
        <v>4.814519343711293</v>
      </c>
      <c r="E22">
        <v>7.2257740349588309</v>
      </c>
      <c r="F22">
        <v>9.6396979690807569</v>
      </c>
      <c r="G22">
        <v>12.05629558078277</v>
      </c>
      <c r="H22">
        <v>14.475571314599851</v>
      </c>
      <c r="I22">
        <v>16.89752962492345</v>
      </c>
      <c r="J22">
        <v>19.322174976028911</v>
      </c>
      <c r="K22">
        <v>21.74951184210282</v>
      </c>
      <c r="L22">
        <v>24.179544707270551</v>
      </c>
      <c r="M22">
        <v>26.612278065623929</v>
      </c>
      <c r="N22">
        <v>29.047716421248861</v>
      </c>
      <c r="O22">
        <v>31.485864288253161</v>
      </c>
      <c r="P22">
        <v>33.926726190794447</v>
      </c>
      <c r="Q22">
        <v>36.370306663108153</v>
      </c>
      <c r="R22">
        <v>38.816610249535501</v>
      </c>
      <c r="S22">
        <v>41.265641504551823</v>
      </c>
      <c r="T22">
        <v>43.717404992794691</v>
      </c>
      <c r="U22">
        <v>46.171905289092358</v>
      </c>
      <c r="V22">
        <v>48.629146978492173</v>
      </c>
      <c r="W22">
        <v>51.089134656289133</v>
      </c>
      <c r="X22">
        <v>53.551872928054557</v>
      </c>
      <c r="Y22">
        <v>56.017366409664817</v>
      </c>
      <c r="Z22">
        <v>58.48561972733016</v>
      </c>
      <c r="AA22">
        <v>60.956637517623662</v>
      </c>
      <c r="AB22">
        <v>63.430424427510196</v>
      </c>
      <c r="AC22">
        <v>65.906985114375701</v>
      </c>
      <c r="AD22">
        <v>68.386324246056276</v>
      </c>
      <c r="AE22">
        <v>70.868446500867535</v>
      </c>
      <c r="AF22">
        <v>73.353356567634094</v>
      </c>
      <c r="AG22">
        <v>75.841059145719115</v>
      </c>
      <c r="AH22">
        <v>78.3315589450537</v>
      </c>
      <c r="AI22">
        <v>80.824860686166957</v>
      </c>
      <c r="AJ22">
        <v>83.320969100215578</v>
      </c>
      <c r="AK22">
        <v>85.819888929013828</v>
      </c>
      <c r="AL22">
        <v>88.321624925063603</v>
      </c>
      <c r="AM22">
        <v>90.826181851584536</v>
      </c>
      <c r="AN22">
        <v>93.333564482544247</v>
      </c>
      <c r="AO22">
        <v>95.843777602688647</v>
      </c>
      <c r="AP22">
        <v>98.356826007572337</v>
      </c>
      <c r="AQ22">
        <v>100.87271450358929</v>
      </c>
      <c r="AR22">
        <v>103.3914479080033</v>
      </c>
      <c r="AS22">
        <v>105.91303104897889</v>
      </c>
      <c r="AT22">
        <v>108.4374687656121</v>
      </c>
    </row>
    <row r="23" spans="1:46" x14ac:dyDescent="0.25">
      <c r="A23" s="1">
        <f t="shared" si="1"/>
        <v>69.599999999999952</v>
      </c>
      <c r="B23">
        <v>0</v>
      </c>
      <c r="C23">
        <v>2.563141191237174</v>
      </c>
      <c r="D23">
        <v>5.1293019334775609</v>
      </c>
      <c r="E23">
        <v>7.6984875657142373</v>
      </c>
      <c r="F23">
        <v>10.27070343953449</v>
      </c>
      <c r="G23">
        <v>12.84595491915699</v>
      </c>
      <c r="H23">
        <v>15.42424738146906</v>
      </c>
      <c r="I23">
        <v>18.00558621606412</v>
      </c>
      <c r="J23">
        <v>20.589976825279209</v>
      </c>
      <c r="K23">
        <v>23.17742462423271</v>
      </c>
      <c r="L23">
        <v>25.767935040862142</v>
      </c>
      <c r="M23">
        <v>28.36151351596213</v>
      </c>
      <c r="N23">
        <v>30.95816550322251</v>
      </c>
      <c r="O23">
        <v>33.557896469266488</v>
      </c>
      <c r="P23">
        <v>36.160711893689133</v>
      </c>
      <c r="Q23">
        <v>38.76661726909569</v>
      </c>
      <c r="R23">
        <v>41.375618101140432</v>
      </c>
      <c r="S23">
        <v>43.987719908565253</v>
      </c>
      <c r="T23">
        <v>46.602928223238642</v>
      </c>
      <c r="U23">
        <v>49.221248590194797</v>
      </c>
      <c r="V23">
        <v>51.842686567672729</v>
      </c>
      <c r="W23">
        <v>54.467247727155623</v>
      </c>
      <c r="X23">
        <v>57.094937653410298</v>
      </c>
      <c r="Y23">
        <v>59.725761944526873</v>
      </c>
      <c r="Z23">
        <v>62.359726211958439</v>
      </c>
      <c r="AA23">
        <v>64.996836080560996</v>
      </c>
      <c r="AB23">
        <v>67.637097188633561</v>
      </c>
      <c r="AC23">
        <v>70.280515187958187</v>
      </c>
      <c r="AD23">
        <v>72.927095743840468</v>
      </c>
      <c r="AE23">
        <v>75.57684453514986</v>
      </c>
      <c r="AF23">
        <v>78.229767254360482</v>
      </c>
      <c r="AG23">
        <v>80.885869607591644</v>
      </c>
      <c r="AH23">
        <v>83.545157314648932</v>
      </c>
      <c r="AI23">
        <v>86.207636109065277</v>
      </c>
      <c r="AJ23">
        <v>88.873311738141979</v>
      </c>
      <c r="AK23">
        <v>91.542189962990264</v>
      </c>
      <c r="AL23">
        <v>94.21427655857272</v>
      </c>
      <c r="AM23">
        <v>96.889577313744894</v>
      </c>
      <c r="AN23">
        <v>99.56809803129714</v>
      </c>
      <c r="AO23">
        <v>102.2498445279966</v>
      </c>
      <c r="AP23">
        <v>104.9348226346292</v>
      </c>
      <c r="AQ23">
        <v>107.6230381960421</v>
      </c>
      <c r="AR23">
        <v>110.3144970711861</v>
      </c>
      <c r="AS23">
        <v>113.00920513315759</v>
      </c>
      <c r="AT23">
        <v>115.7071682692425</v>
      </c>
    </row>
    <row r="24" spans="1:46" x14ac:dyDescent="0.25">
      <c r="A24" s="1">
        <f t="shared" si="1"/>
        <v>71.399999999999949</v>
      </c>
      <c r="B24">
        <v>0</v>
      </c>
      <c r="C24">
        <v>2.7292685417072158</v>
      </c>
      <c r="D24">
        <v>5.4619608679741471</v>
      </c>
      <c r="E24">
        <v>8.1980834253950619</v>
      </c>
      <c r="F24">
        <v>10.93764267675866</v>
      </c>
      <c r="G24">
        <v>13.68064510109896</v>
      </c>
      <c r="H24">
        <v>16.427097193746349</v>
      </c>
      <c r="I24">
        <v>19.177005466378901</v>
      </c>
      <c r="J24">
        <v>21.930376447073801</v>
      </c>
      <c r="K24">
        <v>24.687216680359001</v>
      </c>
      <c r="L24">
        <v>27.447532727265092</v>
      </c>
      <c r="M24">
        <v>30.21133116537737</v>
      </c>
      <c r="N24">
        <v>32.978618588887997</v>
      </c>
      <c r="O24">
        <v>35.74940160864859</v>
      </c>
      <c r="P24">
        <v>38.523686852222703</v>
      </c>
      <c r="Q24">
        <v>41.301480963938779</v>
      </c>
      <c r="R24">
        <v>44.08279060494317</v>
      </c>
      <c r="S24">
        <v>46.867622453253347</v>
      </c>
      <c r="T24">
        <v>49.655983203811431</v>
      </c>
      <c r="U24">
        <v>52.447879568537672</v>
      </c>
      <c r="V24">
        <v>55.243318276384542</v>
      </c>
      <c r="W24">
        <v>58.042306073390577</v>
      </c>
      <c r="X24">
        <v>60.844849722734793</v>
      </c>
      <c r="Y24">
        <v>63.65095600479107</v>
      </c>
      <c r="Z24">
        <v>66.460631717182892</v>
      </c>
      <c r="AA24">
        <v>69.27388367483816</v>
      </c>
      <c r="AB24">
        <v>72.090718710044413</v>
      </c>
      <c r="AC24">
        <v>74.911143672504011</v>
      </c>
      <c r="AD24">
        <v>77.73516542938971</v>
      </c>
      <c r="AE24">
        <v>80.56279086540043</v>
      </c>
      <c r="AF24">
        <v>83.39402688281713</v>
      </c>
      <c r="AG24">
        <v>86.228880401559053</v>
      </c>
      <c r="AH24">
        <v>89.067358359240004</v>
      </c>
      <c r="AI24">
        <v>91.909467711225048</v>
      </c>
      <c r="AJ24">
        <v>94.755215430687272</v>
      </c>
      <c r="AK24">
        <v>97.604608508664782</v>
      </c>
      <c r="AL24">
        <v>100.457653954118</v>
      </c>
      <c r="AM24">
        <v>103.3143587939872</v>
      </c>
      <c r="AN24">
        <v>106.1747300732499</v>
      </c>
      <c r="AO24">
        <v>109.0387748549791</v>
      </c>
      <c r="AP24">
        <v>111.9065002204016</v>
      </c>
      <c r="AQ24">
        <v>114.7779132689555</v>
      </c>
      <c r="AR24">
        <v>117.6530211183499</v>
      </c>
      <c r="AS24">
        <v>120.53183090462279</v>
      </c>
      <c r="AT24">
        <v>123.4143497822007</v>
      </c>
    </row>
    <row r="25" spans="1:46" x14ac:dyDescent="0.25">
      <c r="A25" s="1">
        <f t="shared" si="1"/>
        <v>73.199999999999946</v>
      </c>
      <c r="B25">
        <v>0</v>
      </c>
      <c r="C25">
        <v>2.9047362732378672</v>
      </c>
      <c r="D25">
        <v>5.8133508770135203</v>
      </c>
      <c r="E25">
        <v>8.7258515838893533</v>
      </c>
      <c r="F25">
        <v>11.64224618721097</v>
      </c>
      <c r="G25">
        <v>14.56254250117669</v>
      </c>
      <c r="H25">
        <v>17.486748360907349</v>
      </c>
      <c r="I25">
        <v>20.414871622516358</v>
      </c>
      <c r="J25">
        <v>23.346920163180069</v>
      </c>
      <c r="K25">
        <v>26.282901881208421</v>
      </c>
      <c r="L25">
        <v>29.222824696115811</v>
      </c>
      <c r="M25">
        <v>32.166696548692379</v>
      </c>
      <c r="N25">
        <v>35.11452540107544</v>
      </c>
      <c r="O25">
        <v>38.0663192368213</v>
      </c>
      <c r="P25">
        <v>41.022086060977287</v>
      </c>
      <c r="Q25">
        <v>43.981833900154193</v>
      </c>
      <c r="R25">
        <v>46.945570802598823</v>
      </c>
      <c r="S25">
        <v>49.913304838267052</v>
      </c>
      <c r="T25">
        <v>52.885044098897012</v>
      </c>
      <c r="U25">
        <v>55.860796698082638</v>
      </c>
      <c r="V25">
        <v>58.840570771347487</v>
      </c>
      <c r="W25">
        <v>61.824374476218978</v>
      </c>
      <c r="X25">
        <v>64.812215992302711</v>
      </c>
      <c r="Y25">
        <v>67.804103521357263</v>
      </c>
      <c r="Z25">
        <v>70.80004528736923</v>
      </c>
      <c r="AA25">
        <v>73.80004953662862</v>
      </c>
      <c r="AB25">
        <v>76.804124537804427</v>
      </c>
      <c r="AC25">
        <v>79.81227858202071</v>
      </c>
      <c r="AD25">
        <v>82.82451998293277</v>
      </c>
      <c r="AE25">
        <v>85.840857076803744</v>
      </c>
      <c r="AF25">
        <v>88.861298222581595</v>
      </c>
      <c r="AG25">
        <v>91.885851801976287</v>
      </c>
      <c r="AH25">
        <v>94.914526219537194</v>
      </c>
      <c r="AI25">
        <v>97.947329902731184</v>
      </c>
      <c r="AJ25">
        <v>100.9842713020205</v>
      </c>
      <c r="AK25">
        <v>104.0253588909417</v>
      </c>
      <c r="AL25">
        <v>107.07060116618381</v>
      </c>
      <c r="AM25">
        <v>110.12000664766791</v>
      </c>
      <c r="AN25">
        <v>113.1735838786268</v>
      </c>
      <c r="AO25">
        <v>116.23134142568389</v>
      </c>
      <c r="AP25">
        <v>119.29328787893461</v>
      </c>
      <c r="AQ25">
        <v>122.35943185202549</v>
      </c>
      <c r="AR25">
        <v>125.42978198223589</v>
      </c>
      <c r="AS25">
        <v>128.50434693055891</v>
      </c>
      <c r="AT25">
        <v>131.5831353817824</v>
      </c>
    </row>
    <row r="26" spans="1:46" x14ac:dyDescent="0.25">
      <c r="A26" s="1">
        <f t="shared" si="1"/>
        <v>74.999999999999943</v>
      </c>
      <c r="B26">
        <v>0</v>
      </c>
      <c r="C26">
        <v>3.089985244374172</v>
      </c>
      <c r="D26">
        <v>6.1843594596891673</v>
      </c>
      <c r="E26">
        <v>9.2831320036382792</v>
      </c>
      <c r="F26">
        <v>12.386312260535689</v>
      </c>
      <c r="G26">
        <v>15.49390964141117</v>
      </c>
      <c r="H26">
        <v>18.605933584105259</v>
      </c>
      <c r="I26">
        <v>21.7223935533648</v>
      </c>
      <c r="J26">
        <v>24.843299040938842</v>
      </c>
      <c r="K26">
        <v>27.968659565675051</v>
      </c>
      <c r="L26">
        <v>31.098484673616511</v>
      </c>
      <c r="M26">
        <v>34.232783938098827</v>
      </c>
      <c r="N26">
        <v>37.37156695984784</v>
      </c>
      <c r="O26">
        <v>40.514843367077553</v>
      </c>
      <c r="P26">
        <v>43.662622815588648</v>
      </c>
      <c r="Q26">
        <v>46.814914988867343</v>
      </c>
      <c r="R26">
        <v>49.971729598184659</v>
      </c>
      <c r="S26">
        <v>53.133076382696203</v>
      </c>
      <c r="T26">
        <v>56.298965109542237</v>
      </c>
      <c r="U26">
        <v>59.469405573948407</v>
      </c>
      <c r="V26">
        <v>62.644407599326598</v>
      </c>
      <c r="W26">
        <v>65.82398103737647</v>
      </c>
      <c r="X26">
        <v>69.008135768187401</v>
      </c>
      <c r="Y26">
        <v>72.196881700340754</v>
      </c>
      <c r="Z26">
        <v>75.390228771012673</v>
      </c>
      <c r="AA26">
        <v>78.588186946077286</v>
      </c>
      <c r="AB26">
        <v>81.790766220210472</v>
      </c>
      <c r="AC26">
        <v>84.997976616993881</v>
      </c>
      <c r="AD26">
        <v>88.209828189019518</v>
      </c>
      <c r="AE26">
        <v>91.426331017994869</v>
      </c>
      <c r="AF26">
        <v>94.64749521484822</v>
      </c>
      <c r="AG26">
        <v>97.873330919834785</v>
      </c>
      <c r="AH26">
        <v>101.103848302643</v>
      </c>
      <c r="AI26">
        <v>104.3390575625014</v>
      </c>
      <c r="AJ26">
        <v>107.5789689282859</v>
      </c>
      <c r="AK26">
        <v>110.8235926586278</v>
      </c>
      <c r="AL26">
        <v>114.072939042022</v>
      </c>
      <c r="AM26">
        <v>117.3270183969353</v>
      </c>
      <c r="AN26">
        <v>120.58584107191641</v>
      </c>
      <c r="AO26">
        <v>123.8494174457051</v>
      </c>
      <c r="AP26">
        <v>127.1177579273424</v>
      </c>
      <c r="AQ26">
        <v>130.39087295628161</v>
      </c>
      <c r="AR26">
        <v>133.66877300249891</v>
      </c>
      <c r="AS26">
        <v>136.9514685666056</v>
      </c>
      <c r="AT26">
        <v>140.23897017995989</v>
      </c>
    </row>
    <row r="27" spans="1:46" x14ac:dyDescent="0.25">
      <c r="A27" s="1">
        <f t="shared" si="1"/>
        <v>76.79999999999994</v>
      </c>
      <c r="B27">
        <v>0</v>
      </c>
      <c r="C27">
        <v>3.2854728590774021</v>
      </c>
      <c r="D27">
        <v>6.5759078143072411</v>
      </c>
      <c r="E27">
        <v>9.8713161156710729</v>
      </c>
      <c r="F27">
        <v>13.17170904718388</v>
      </c>
      <c r="G27">
        <v>16.477097927022839</v>
      </c>
      <c r="H27">
        <v>19.78749410765672</v>
      </c>
      <c r="I27">
        <v>23.102908975975861</v>
      </c>
      <c r="J27">
        <v>26.423353953422708</v>
      </c>
      <c r="K27">
        <v>29.748840496122959</v>
      </c>
      <c r="L27">
        <v>33.079380095017378</v>
      </c>
      <c r="M27">
        <v>36.41498427599408</v>
      </c>
      <c r="N27">
        <v>39.755664600021497</v>
      </c>
      <c r="O27">
        <v>43.101432663282033</v>
      </c>
      <c r="P27">
        <v>46.452300097306058</v>
      </c>
      <c r="Q27">
        <v>49.808278569106918</v>
      </c>
      <c r="R27">
        <v>53.169379781316167</v>
      </c>
      <c r="S27">
        <v>56.535615472319677</v>
      </c>
      <c r="T27">
        <v>59.90699741639429</v>
      </c>
      <c r="U27">
        <v>63.283537423845047</v>
      </c>
      <c r="V27">
        <v>66.665247341143171</v>
      </c>
      <c r="W27">
        <v>70.052139051064543</v>
      </c>
      <c r="X27">
        <v>73.444224472828907</v>
      </c>
      <c r="Y27">
        <v>76.841515562239721</v>
      </c>
      <c r="Z27">
        <v>80.24402431182456</v>
      </c>
      <c r="AA27">
        <v>83.651762750976317</v>
      </c>
      <c r="AB27">
        <v>87.064742946094825</v>
      </c>
      <c r="AC27">
        <v>90.48297700072952</v>
      </c>
      <c r="AD27">
        <v>93.906477055722178</v>
      </c>
      <c r="AE27">
        <v>97.335255289350997</v>
      </c>
      <c r="AF27">
        <v>100.76932391747479</v>
      </c>
      <c r="AG27">
        <v>104.2086951936781</v>
      </c>
      <c r="AH27">
        <v>107.65338140941699</v>
      </c>
      <c r="AI27">
        <v>111.10339489416531</v>
      </c>
      <c r="AJ27">
        <v>114.5587480155622</v>
      </c>
      <c r="AK27">
        <v>118.01945317955941</v>
      </c>
      <c r="AL27">
        <v>121.48552283057001</v>
      </c>
      <c r="AM27">
        <v>124.9569694516174</v>
      </c>
      <c r="AN27">
        <v>128.43380556448551</v>
      </c>
      <c r="AO27">
        <v>131.91604372986879</v>
      </c>
      <c r="AP27">
        <v>135.40369654752419</v>
      </c>
      <c r="AQ27">
        <v>138.89677665642259</v>
      </c>
      <c r="AR27">
        <v>142.39529673490151</v>
      </c>
      <c r="AS27">
        <v>145.8992695008186</v>
      </c>
      <c r="AT27">
        <v>149.408707711706</v>
      </c>
    </row>
    <row r="28" spans="1:46" x14ac:dyDescent="0.25">
      <c r="A28" s="1">
        <f t="shared" si="1"/>
        <v>78.599999999999937</v>
      </c>
      <c r="B28">
        <v>0</v>
      </c>
      <c r="C28">
        <v>3.4916735116286421</v>
      </c>
      <c r="D28">
        <v>6.9889517861938728</v>
      </c>
      <c r="E28">
        <v>10.49184832951164</v>
      </c>
      <c r="F28">
        <v>14.00037669082613</v>
      </c>
      <c r="G28">
        <v>17.514550462984449</v>
      </c>
      <c r="H28">
        <v>21.034383282612168</v>
      </c>
      <c r="I28">
        <v>24.559888830289701</v>
      </c>
      <c r="J28">
        <v>28.091080830729581</v>
      </c>
      <c r="K28">
        <v>31.62797305295453</v>
      </c>
      <c r="L28">
        <v>35.170579310476427</v>
      </c>
      <c r="M28">
        <v>38.718913461476113</v>
      </c>
      <c r="N28">
        <v>42.272989408984181</v>
      </c>
      <c r="O28">
        <v>45.832821101062457</v>
      </c>
      <c r="P28">
        <v>49.398422530986551</v>
      </c>
      <c r="Q28">
        <v>52.969807737429129</v>
      </c>
      <c r="R28">
        <v>56.546990804644238</v>
      </c>
      <c r="S28">
        <v>60.129985862652397</v>
      </c>
      <c r="T28">
        <v>63.71880708742664</v>
      </c>
      <c r="U28">
        <v>67.313468701079543</v>
      </c>
      <c r="V28">
        <v>70.913984972051026</v>
      </c>
      <c r="W28">
        <v>74.520370215297092</v>
      </c>
      <c r="X28">
        <v>78.132638792479753</v>
      </c>
      <c r="Y28">
        <v>81.750805112157323</v>
      </c>
      <c r="Z28">
        <v>85.374883629976452</v>
      </c>
      <c r="AA28">
        <v>89.004888848864127</v>
      </c>
      <c r="AB28">
        <v>92.64083531922158</v>
      </c>
      <c r="AC28">
        <v>96.282737639118409</v>
      </c>
      <c r="AD28">
        <v>99.930610454488075</v>
      </c>
      <c r="AE28">
        <v>103.5844684593243</v>
      </c>
      <c r="AF28">
        <v>107.24432639587791</v>
      </c>
      <c r="AG28">
        <v>110.91019905485609</v>
      </c>
      <c r="AH28">
        <v>114.5821012756204</v>
      </c>
      <c r="AI28">
        <v>118.260047946388</v>
      </c>
      <c r="AJ28">
        <v>121.9440540044323</v>
      </c>
      <c r="AK28">
        <v>125.63413443628529</v>
      </c>
      <c r="AL28">
        <v>129.33030427794111</v>
      </c>
      <c r="AM28">
        <v>133.03257861505969</v>
      </c>
      <c r="AN28">
        <v>136.74097258317261</v>
      </c>
      <c r="AO28">
        <v>140.45550136788859</v>
      </c>
      <c r="AP28">
        <v>144.1761802051017</v>
      </c>
      <c r="AQ28">
        <v>147.90302438119869</v>
      </c>
      <c r="AR28">
        <v>151.63604923326949</v>
      </c>
      <c r="AS28">
        <v>155.37527014931629</v>
      </c>
      <c r="AT28">
        <v>159.12070256846599</v>
      </c>
    </row>
    <row r="29" spans="1:46" x14ac:dyDescent="0.25">
      <c r="A29" s="1">
        <f t="shared" si="1"/>
        <v>80.399999999999935</v>
      </c>
      <c r="B29">
        <v>0</v>
      </c>
      <c r="C29">
        <v>3.7090790382097478</v>
      </c>
      <c r="D29">
        <v>7.4244828338031441</v>
      </c>
      <c r="E29">
        <v>11.146227578141049</v>
      </c>
      <c r="F29">
        <v>14.874329517897969</v>
      </c>
      <c r="G29">
        <v>18.608804955298471</v>
      </c>
      <c r="H29">
        <v>22.349670248354808</v>
      </c>
      <c r="I29">
        <v>26.09694181110574</v>
      </c>
      <c r="J29">
        <v>29.850636113856659</v>
      </c>
      <c r="K29">
        <v>33.610769683420813</v>
      </c>
      <c r="L29">
        <v>37.37735910336189</v>
      </c>
      <c r="M29">
        <v>41.150421014237907</v>
      </c>
      <c r="N29">
        <v>44.929972113846098</v>
      </c>
      <c r="O29">
        <v>48.716029157469357</v>
      </c>
      <c r="P29">
        <v>52.508608958123823</v>
      </c>
      <c r="Q29">
        <v>56.307728386807689</v>
      </c>
      <c r="R29">
        <v>60.113404372751461</v>
      </c>
      <c r="S29">
        <v>63.92565390366935</v>
      </c>
      <c r="T29">
        <v>67.744494026012049</v>
      </c>
      <c r="U29">
        <v>71.569941845220853</v>
      </c>
      <c r="V29">
        <v>75.402014525983006</v>
      </c>
      <c r="W29">
        <v>79.24072929248841</v>
      </c>
      <c r="X29">
        <v>83.086103428687821</v>
      </c>
      <c r="Y29">
        <v>86.93815427855202</v>
      </c>
      <c r="Z29">
        <v>90.796899246332856</v>
      </c>
      <c r="AA29">
        <v>94.662355796825068</v>
      </c>
      <c r="AB29">
        <v>98.534541455630134</v>
      </c>
      <c r="AC29">
        <v>102.41347380942059</v>
      </c>
      <c r="AD29">
        <v>106.2991705062071</v>
      </c>
      <c r="AE29">
        <v>110.191649255605</v>
      </c>
      <c r="AF29">
        <v>114.0909278291046</v>
      </c>
      <c r="AG29">
        <v>117.99702406034049</v>
      </c>
      <c r="AH29">
        <v>121.90995584536439</v>
      </c>
      <c r="AI29">
        <v>125.8297411429175</v>
      </c>
      <c r="AJ29">
        <v>129.75639797470609</v>
      </c>
      <c r="AK29">
        <v>133.6899444256774</v>
      </c>
      <c r="AL29">
        <v>137.63039864429709</v>
      </c>
      <c r="AM29">
        <v>141.57777884282831</v>
      </c>
      <c r="AN29">
        <v>145.53210329761279</v>
      </c>
      <c r="AO29">
        <v>149.4933903493525</v>
      </c>
      <c r="AP29">
        <v>153.46165840339319</v>
      </c>
      <c r="AQ29">
        <v>157.43692593000969</v>
      </c>
      <c r="AR29">
        <v>161.41921146469221</v>
      </c>
      <c r="AS29">
        <v>165.40853360843451</v>
      </c>
      <c r="AT29">
        <v>169.40491102802369</v>
      </c>
    </row>
    <row r="30" spans="1:46" x14ac:dyDescent="0.25">
      <c r="A30" s="1">
        <f t="shared" si="1"/>
        <v>82.199999999999932</v>
      </c>
      <c r="B30">
        <v>0</v>
      </c>
      <c r="C30">
        <v>3.9381991752066829</v>
      </c>
      <c r="D30">
        <v>7.8835290135872329</v>
      </c>
      <c r="E30">
        <v>11.8360088992925</v>
      </c>
      <c r="F30">
        <v>15.795658286796121</v>
      </c>
      <c r="G30">
        <v>19.762496701213699</v>
      </c>
      <c r="H30">
        <v>23.736543738623769</v>
      </c>
      <c r="I30">
        <v>27.71781906639044</v>
      </c>
      <c r="J30">
        <v>31.706342423487861</v>
      </c>
      <c r="K30">
        <v>35.702133620826437</v>
      </c>
      <c r="L30">
        <v>39.705212541580821</v>
      </c>
      <c r="M30">
        <v>43.715599141519718</v>
      </c>
      <c r="N30">
        <v>47.733313449337487</v>
      </c>
      <c r="O30">
        <v>51.758375566987603</v>
      </c>
      <c r="P30">
        <v>55.790805670017832</v>
      </c>
      <c r="Q30">
        <v>59.830624007907431</v>
      </c>
      <c r="R30">
        <v>63.877850904406031</v>
      </c>
      <c r="S30">
        <v>67.932506757874506</v>
      </c>
      <c r="T30">
        <v>71.994612041627562</v>
      </c>
      <c r="U30">
        <v>76.064187304278491</v>
      </c>
      <c r="V30">
        <v>80.141253170085591</v>
      </c>
      <c r="W30">
        <v>84.225830339300529</v>
      </c>
      <c r="X30">
        <v>88.317939588518669</v>
      </c>
      <c r="Y30">
        <v>92.417601771031514</v>
      </c>
      <c r="Z30">
        <v>96.524837817180696</v>
      </c>
      <c r="AA30">
        <v>100.63966873471441</v>
      </c>
      <c r="AB30">
        <v>104.7621156091452</v>
      </c>
      <c r="AC30">
        <v>108.8921996041108</v>
      </c>
      <c r="AD30">
        <v>113.0299419617354</v>
      </c>
      <c r="AE30">
        <v>117.1753640029946</v>
      </c>
      <c r="AF30">
        <v>121.32848712808141</v>
      </c>
      <c r="AG30">
        <v>125.48933281677409</v>
      </c>
      <c r="AH30">
        <v>129.657922628807</v>
      </c>
      <c r="AI30">
        <v>133.83427820424279</v>
      </c>
      <c r="AJ30">
        <v>138.0184212638467</v>
      </c>
      <c r="AK30">
        <v>142.2103736094634</v>
      </c>
      <c r="AL30">
        <v>146.41015712439531</v>
      </c>
      <c r="AM30">
        <v>150.61779377378389</v>
      </c>
      <c r="AN30">
        <v>154.83330560499209</v>
      </c>
      <c r="AO30">
        <v>159.0567147479897</v>
      </c>
      <c r="AP30">
        <v>163.2880434157405</v>
      </c>
      <c r="AQ30">
        <v>167.52731390459161</v>
      </c>
      <c r="AR30">
        <v>171.77454859466539</v>
      </c>
      <c r="AS30">
        <v>176.02976995025301</v>
      </c>
      <c r="AT30">
        <v>180.29300052021071</v>
      </c>
    </row>
    <row r="31" spans="1:46" x14ac:dyDescent="0.25">
      <c r="A31" s="1">
        <f t="shared" si="1"/>
        <v>83.999999999999929</v>
      </c>
      <c r="B31">
        <v>0</v>
      </c>
      <c r="C31">
        <v>4.1795620242876446</v>
      </c>
      <c r="D31">
        <v>8.3671559841293917</v>
      </c>
      <c r="E31">
        <v>12.56280505445417</v>
      </c>
      <c r="F31">
        <v>16.76653249943374</v>
      </c>
      <c r="G31">
        <v>20.978361672912619</v>
      </c>
      <c r="H31">
        <v>25.19831601884065</v>
      </c>
      <c r="I31">
        <v>29.42641907170789</v>
      </c>
      <c r="J31">
        <v>33.662694456982187</v>
      </c>
      <c r="K31">
        <v>37.907165891549191</v>
      </c>
      <c r="L31">
        <v>42.159857184154937</v>
      </c>
      <c r="M31">
        <v>46.420792235851067</v>
      </c>
      <c r="N31">
        <v>50.689995040442547</v>
      </c>
      <c r="O31">
        <v>54.967489684938073</v>
      </c>
      <c r="P31">
        <v>59.253300350003052</v>
      </c>
      <c r="Q31">
        <v>63.547451310415248</v>
      </c>
      <c r="R31">
        <v>67.849966935523142</v>
      </c>
      <c r="S31">
        <v>72.160871689706823</v>
      </c>
      <c r="T31">
        <v>76.480190132841798</v>
      </c>
      <c r="U31">
        <v>80.807946920765275</v>
      </c>
      <c r="V31">
        <v>85.144166805745371</v>
      </c>
      <c r="W31">
        <v>89.488874636953014</v>
      </c>
      <c r="X31">
        <v>93.842095360936639</v>
      </c>
      <c r="Y31">
        <v>98.20385402209952</v>
      </c>
      <c r="Z31">
        <v>102.57417576318019</v>
      </c>
      <c r="AA31">
        <v>106.9530858257357</v>
      </c>
      <c r="AB31">
        <v>111.34060955062689</v>
      </c>
      <c r="AC31">
        <v>115.73677237850821</v>
      </c>
      <c r="AD31">
        <v>120.1415998503186</v>
      </c>
      <c r="AE31">
        <v>124.55511760777669</v>
      </c>
      <c r="AF31">
        <v>128.977351393878</v>
      </c>
      <c r="AG31">
        <v>133.40832705339551</v>
      </c>
      <c r="AH31">
        <v>137.84807053338341</v>
      </c>
      <c r="AI31">
        <v>142.29660788368309</v>
      </c>
      <c r="AJ31">
        <v>146.75396525743329</v>
      </c>
      <c r="AK31">
        <v>151.22016891158191</v>
      </c>
      <c r="AL31">
        <v>155.69524520740191</v>
      </c>
      <c r="AM31">
        <v>160.17922061101029</v>
      </c>
      <c r="AN31">
        <v>164.67212169388921</v>
      </c>
      <c r="AO31">
        <v>169.1739751334112</v>
      </c>
      <c r="AP31">
        <v>173.68480771336729</v>
      </c>
      <c r="AQ31">
        <v>178.2046463244979</v>
      </c>
      <c r="AR31">
        <v>182.73351796502729</v>
      </c>
      <c r="AS31">
        <v>187.271449741201</v>
      </c>
      <c r="AT31">
        <v>191.81846886782719</v>
      </c>
    </row>
    <row r="32" spans="1:46" x14ac:dyDescent="0.25">
      <c r="A32" s="1">
        <f t="shared" si="1"/>
        <v>85.799999999999926</v>
      </c>
      <c r="B32">
        <v>0</v>
      </c>
      <c r="C32">
        <v>4.4337145243165148</v>
      </c>
      <c r="D32">
        <v>8.8764680300821812</v>
      </c>
      <c r="E32">
        <v>13.328288187060361</v>
      </c>
      <c r="F32">
        <v>17.789202778065171</v>
      </c>
      <c r="G32">
        <v>22.259239699539481</v>
      </c>
      <c r="H32">
        <v>26.738426962136341</v>
      </c>
      <c r="I32">
        <v>31.226792691304151</v>
      </c>
      <c r="J32">
        <v>35.724365127875281</v>
      </c>
      <c r="K32">
        <v>40.231172628658399</v>
      </c>
      <c r="L32">
        <v>44.747243667034454</v>
      </c>
      <c r="M32">
        <v>49.272606833556253</v>
      </c>
      <c r="N32">
        <v>53.807290836551857</v>
      </c>
      <c r="O32">
        <v>58.351324502731693</v>
      </c>
      <c r="P32">
        <v>62.904736777799251</v>
      </c>
      <c r="Q32">
        <v>67.467556727065855</v>
      </c>
      <c r="R32">
        <v>72.039813536069019</v>
      </c>
      <c r="S32">
        <v>76.621536511194734</v>
      </c>
      <c r="T32">
        <v>81.212755080303637</v>
      </c>
      <c r="U32">
        <v>85.813498793360992</v>
      </c>
      <c r="V32">
        <v>90.42379732307073</v>
      </c>
      <c r="W32">
        <v>95.043680465513333</v>
      </c>
      <c r="X32">
        <v>99.673178140787741</v>
      </c>
      <c r="Y32">
        <v>104.3123203936573</v>
      </c>
      <c r="Z32">
        <v>108.9611373941996</v>
      </c>
      <c r="AA32">
        <v>113.6196594384606</v>
      </c>
      <c r="AB32">
        <v>118.2879169491128</v>
      </c>
      <c r="AC32">
        <v>122.96594047611759</v>
      </c>
      <c r="AD32">
        <v>127.65376069739121</v>
      </c>
      <c r="AE32">
        <v>132.35140841947589</v>
      </c>
      <c r="AF32">
        <v>137.05891457821431</v>
      </c>
      <c r="AG32">
        <v>141.77631023942899</v>
      </c>
      <c r="AH32">
        <v>146.5036265996055</v>
      </c>
      <c r="AI32">
        <v>151.24089498658009</v>
      </c>
      <c r="AJ32">
        <v>155.98814686023169</v>
      </c>
      <c r="AK32">
        <v>160.7454138131786</v>
      </c>
      <c r="AL32">
        <v>165.51272757147899</v>
      </c>
      <c r="AM32">
        <v>170.29011999533651</v>
      </c>
      <c r="AN32">
        <v>175.07762307980971</v>
      </c>
      <c r="AO32">
        <v>179.87526895552631</v>
      </c>
      <c r="AP32">
        <v>184.68308988940231</v>
      </c>
      <c r="AQ32">
        <v>189.50111828536521</v>
      </c>
      <c r="AR32">
        <v>194.3293866850818</v>
      </c>
      <c r="AS32">
        <v>199.16792776869119</v>
      </c>
      <c r="AT32">
        <v>204.01677435554171</v>
      </c>
    </row>
    <row r="33" spans="1:46" x14ac:dyDescent="0.25">
      <c r="A33" s="1">
        <f t="shared" si="1"/>
        <v>87.599999999999923</v>
      </c>
      <c r="B33">
        <v>0</v>
      </c>
      <c r="C33">
        <v>4.701222930170915</v>
      </c>
      <c r="D33">
        <v>9.4126091064980546</v>
      </c>
      <c r="E33">
        <v>14.134191521463659</v>
      </c>
      <c r="F33">
        <v>18.866003310507299</v>
      </c>
      <c r="G33">
        <v>23.608077752801041</v>
      </c>
      <c r="H33">
        <v>28.360448272029611</v>
      </c>
      <c r="I33">
        <v>33.123148437175701</v>
      </c>
      <c r="J33">
        <v>37.8962119633103</v>
      </c>
      <c r="K33">
        <v>42.679672712388339</v>
      </c>
      <c r="L33">
        <v>47.473564694049429</v>
      </c>
      <c r="M33">
        <v>52.277922066423841</v>
      </c>
      <c r="N33">
        <v>57.092779136943861</v>
      </c>
      <c r="O33">
        <v>61.918170363160399</v>
      </c>
      <c r="P33">
        <v>66.754130353564918</v>
      </c>
      <c r="Q33">
        <v>71.60069386841694</v>
      </c>
      <c r="R33">
        <v>76.45789582057678</v>
      </c>
      <c r="S33">
        <v>81.325771276343986</v>
      </c>
      <c r="T33">
        <v>86.204355456301101</v>
      </c>
      <c r="U33">
        <v>91.093683736163172</v>
      </c>
      <c r="V33">
        <v>95.993791647632861</v>
      </c>
      <c r="W33">
        <v>100.90471487926099</v>
      </c>
      <c r="X33">
        <v>105.8264892773131</v>
      </c>
      <c r="Y33">
        <v>110.7591508466418</v>
      </c>
      <c r="Z33">
        <v>115.7027357515644</v>
      </c>
      <c r="AA33">
        <v>120.65728031674681</v>
      </c>
      <c r="AB33">
        <v>125.6228210280935</v>
      </c>
      <c r="AC33">
        <v>130.59939453364271</v>
      </c>
      <c r="AD33">
        <v>135.5870376444685</v>
      </c>
      <c r="AE33">
        <v>140.58578733558801</v>
      </c>
      <c r="AF33">
        <v>145.59568074687539</v>
      </c>
      <c r="AG33">
        <v>150.6167551839815</v>
      </c>
      <c r="AH33">
        <v>155.64904811925979</v>
      </c>
      <c r="AI33">
        <v>160.6925971926988</v>
      </c>
      <c r="AJ33">
        <v>165.7474402128604</v>
      </c>
      <c r="AK33">
        <v>170.8136151578245</v>
      </c>
      <c r="AL33">
        <v>175.8911601761404</v>
      </c>
      <c r="AM33">
        <v>180.9801135877841</v>
      </c>
      <c r="AN33">
        <v>186.0805138851224</v>
      </c>
      <c r="AO33">
        <v>191.1923997338836</v>
      </c>
      <c r="AP33">
        <v>196.31580997413411</v>
      </c>
      <c r="AQ33">
        <v>201.4507836212627</v>
      </c>
      <c r="AR33">
        <v>206.59735986697041</v>
      </c>
      <c r="AS33">
        <v>211.75557808026781</v>
      </c>
      <c r="AT33">
        <v>216.92547780847909</v>
      </c>
    </row>
    <row r="34" spans="1:46" x14ac:dyDescent="0.25">
      <c r="A34" s="1">
        <f t="shared" si="1"/>
        <v>89.39999999999992</v>
      </c>
      <c r="B34">
        <v>0</v>
      </c>
      <c r="C34">
        <v>4.9826732985437259</v>
      </c>
      <c r="D34">
        <v>9.97676390418696</v>
      </c>
      <c r="E34">
        <v>14.98231110440029</v>
      </c>
      <c r="F34">
        <v>19.999354367114591</v>
      </c>
      <c r="G34">
        <v>25.02793334175832</v>
      </c>
      <c r="H34">
        <v>30.068087860302079</v>
      </c>
      <c r="I34">
        <v>35.119857938310261</v>
      </c>
      <c r="J34">
        <v>40.183283776000088</v>
      </c>
      <c r="K34">
        <v>45.258405759307969</v>
      </c>
      <c r="L34">
        <v>50.345264460963172</v>
      </c>
      <c r="M34">
        <v>55.44390064156908</v>
      </c>
      <c r="N34">
        <v>60.554355250691827</v>
      </c>
      <c r="O34">
        <v>65.676669427956696</v>
      </c>
      <c r="P34">
        <v>70.810884504151971</v>
      </c>
      <c r="Q34">
        <v>75.957042002340529</v>
      </c>
      <c r="R34">
        <v>81.115183638979389</v>
      </c>
      <c r="S34">
        <v>86.285351325046832</v>
      </c>
      <c r="T34">
        <v>91.467587167177498</v>
      </c>
      <c r="U34">
        <v>96.661933468805572</v>
      </c>
      <c r="V34">
        <v>101.86843273131591</v>
      </c>
      <c r="W34">
        <v>107.08712765520291</v>
      </c>
      <c r="X34">
        <v>112.3180611412384</v>
      </c>
      <c r="Y34">
        <v>117.56127629164681</v>
      </c>
      <c r="Z34">
        <v>122.8168164112891</v>
      </c>
      <c r="AA34">
        <v>128.08472500885509</v>
      </c>
      <c r="AB34">
        <v>133.36504579806399</v>
      </c>
      <c r="AC34">
        <v>138.65782269887379</v>
      </c>
      <c r="AD34">
        <v>143.96309983869841</v>
      </c>
      <c r="AE34">
        <v>149.2809215536349</v>
      </c>
      <c r="AF34">
        <v>154.61133238969759</v>
      </c>
      <c r="AG34">
        <v>159.9543771040627</v>
      </c>
      <c r="AH34">
        <v>165.31010066632041</v>
      </c>
      <c r="AI34">
        <v>170.67854825973711</v>
      </c>
      <c r="AJ34">
        <v>176.0597652825254</v>
      </c>
      <c r="AK34">
        <v>181.4537973491243</v>
      </c>
      <c r="AL34">
        <v>186.8606902914876</v>
      </c>
      <c r="AM34">
        <v>192.28049016038281</v>
      </c>
      <c r="AN34">
        <v>197.71324322669719</v>
      </c>
      <c r="AO34">
        <v>203.15899598275621</v>
      </c>
      <c r="AP34">
        <v>208.61779514364829</v>
      </c>
      <c r="AQ34">
        <v>214.08968764856149</v>
      </c>
      <c r="AR34">
        <v>219.57472066212861</v>
      </c>
      <c r="AS34">
        <v>225.07294157578221</v>
      </c>
      <c r="AT34">
        <v>230.58439800911989</v>
      </c>
    </row>
    <row r="35" spans="1:46" x14ac:dyDescent="0.25">
      <c r="A35" s="1">
        <f t="shared" si="1"/>
        <v>91.199999999999918</v>
      </c>
      <c r="B35">
        <v>0</v>
      </c>
      <c r="C35">
        <v>5.2786719808170854</v>
      </c>
      <c r="D35">
        <v>10.570158936786299</v>
      </c>
      <c r="E35">
        <v>15.874507590787839</v>
      </c>
      <c r="F35">
        <v>21.191764893111241</v>
      </c>
      <c r="G35">
        <v>26.52197802284061</v>
      </c>
      <c r="H35">
        <v>31.865194389250028</v>
      </c>
      <c r="I35">
        <v>37.221461633209188</v>
      </c>
      <c r="J35">
        <v>42.590827628599222</v>
      </c>
      <c r="K35">
        <v>47.973340483739094</v>
      </c>
      <c r="L35">
        <v>53.369048542822377</v>
      </c>
      <c r="M35">
        <v>58.778000387364692</v>
      </c>
      <c r="N35">
        <v>64.200244837661657</v>
      </c>
      <c r="O35">
        <v>69.635830954257813</v>
      </c>
      <c r="P35">
        <v>75.084808039426264</v>
      </c>
      <c r="Q35">
        <v>80.547225638659299</v>
      </c>
      <c r="R35">
        <v>86.023133542170072</v>
      </c>
      <c r="S35">
        <v>91.512581786405391</v>
      </c>
      <c r="T35">
        <v>97.015620655569805</v>
      </c>
      <c r="U35">
        <v>102.5323006831609</v>
      </c>
      <c r="V35">
        <v>108.0626726535163</v>
      </c>
      <c r="W35">
        <v>113.6067876033717</v>
      </c>
      <c r="X35">
        <v>119.1646968234312</v>
      </c>
      <c r="Y35">
        <v>124.7364518599488</v>
      </c>
      <c r="Z35">
        <v>130.3221045163217</v>
      </c>
      <c r="AA35">
        <v>135.92170685469659</v>
      </c>
      <c r="AB35">
        <v>141.5353111975862</v>
      </c>
      <c r="AC35">
        <v>147.16297012949971</v>
      </c>
      <c r="AD35">
        <v>152.80473649858411</v>
      </c>
      <c r="AE35">
        <v>158.4606634182791</v>
      </c>
      <c r="AF35">
        <v>164.13080426898341</v>
      </c>
      <c r="AG35">
        <v>169.81521269973419</v>
      </c>
      <c r="AH35">
        <v>175.5139426298993</v>
      </c>
      <c r="AI35">
        <v>181.22704825088201</v>
      </c>
      <c r="AJ35">
        <v>186.95458402783859</v>
      </c>
      <c r="AK35">
        <v>192.69660470140951</v>
      </c>
      <c r="AL35">
        <v>198.4531652894629</v>
      </c>
      <c r="AM35">
        <v>204.22432108885229</v>
      </c>
      <c r="AN35">
        <v>210.01012767718689</v>
      </c>
      <c r="AO35">
        <v>215.8106409146155</v>
      </c>
      <c r="AP35">
        <v>221.62591694562479</v>
      </c>
      <c r="AQ35">
        <v>227.45601220085021</v>
      </c>
      <c r="AR35">
        <v>233.30098339890159</v>
      </c>
      <c r="AS35">
        <v>239.1608875482026</v>
      </c>
      <c r="AT35">
        <v>245.03578194884369</v>
      </c>
    </row>
    <row r="36" spans="1:46" x14ac:dyDescent="0.25">
      <c r="A36" s="1">
        <f t="shared" si="1"/>
        <v>92.999999999999915</v>
      </c>
      <c r="B36">
        <v>0</v>
      </c>
      <c r="C36">
        <v>5.5898461231088996</v>
      </c>
      <c r="D36">
        <v>11.19406365028242</v>
      </c>
      <c r="E36">
        <v>16.812708075829519</v>
      </c>
      <c r="F36">
        <v>22.445835180144599</v>
      </c>
      <c r="G36">
        <v>28.09350103155349</v>
      </c>
      <c r="H36">
        <v>33.755761988173582</v>
      </c>
      <c r="I36">
        <v>39.432674699788613</v>
      </c>
      <c r="J36">
        <v>45.124296109737813</v>
      </c>
      <c r="K36">
        <v>50.830683456819933</v>
      </c>
      <c r="L36">
        <v>56.551894277211971</v>
      </c>
      <c r="M36">
        <v>62.287986406402972</v>
      </c>
      <c r="N36">
        <v>68.039017981142877</v>
      </c>
      <c r="O36">
        <v>73.805047441406643</v>
      </c>
      <c r="P36">
        <v>79.586133532373736</v>
      </c>
      <c r="Q36">
        <v>85.382335306423158</v>
      </c>
      <c r="R36">
        <v>91.193712125144245</v>
      </c>
      <c r="S36">
        <v>97.020323661362994</v>
      </c>
      <c r="T36">
        <v>102.86222990118461</v>
      </c>
      <c r="U36">
        <v>108.71949114605221</v>
      </c>
      <c r="V36">
        <v>114.5921680148215</v>
      </c>
      <c r="W36">
        <v>120.4803214458519</v>
      </c>
      <c r="X36">
        <v>126.38401269911481</v>
      </c>
      <c r="Y36">
        <v>132.30330335831769</v>
      </c>
      <c r="Z36">
        <v>138.2382553330452</v>
      </c>
      <c r="AA36">
        <v>144.18893086091839</v>
      </c>
      <c r="AB36">
        <v>150.15539250976931</v>
      </c>
      <c r="AC36">
        <v>156.13770317983469</v>
      </c>
      <c r="AD36">
        <v>162.13592610596581</v>
      </c>
      <c r="AE36">
        <v>168.15012485985679</v>
      </c>
      <c r="AF36">
        <v>174.1803633522905</v>
      </c>
      <c r="AG36">
        <v>180.22670583540241</v>
      </c>
      <c r="AH36">
        <v>186.2892169049623</v>
      </c>
      <c r="AI36">
        <v>192.3679615026752</v>
      </c>
      <c r="AJ36">
        <v>198.46300491849979</v>
      </c>
      <c r="AK36">
        <v>204.57441279298641</v>
      </c>
      <c r="AL36">
        <v>210.70225111963251</v>
      </c>
      <c r="AM36">
        <v>216.84658624725969</v>
      </c>
      <c r="AN36">
        <v>223.0074848824066</v>
      </c>
      <c r="AO36">
        <v>229.18501409174431</v>
      </c>
      <c r="AP36">
        <v>235.37924130450909</v>
      </c>
      <c r="AQ36">
        <v>241.59023431495621</v>
      </c>
      <c r="AR36">
        <v>247.81806128483299</v>
      </c>
      <c r="AS36">
        <v>254.0627907458728</v>
      </c>
      <c r="AT36">
        <v>260.324491602308</v>
      </c>
    </row>
    <row r="37" spans="1:46" x14ac:dyDescent="0.25">
      <c r="A37" s="1">
        <f t="shared" si="1"/>
        <v>94.799999999999912</v>
      </c>
      <c r="B37">
        <v>0</v>
      </c>
      <c r="C37">
        <v>5.9168441736036907</v>
      </c>
      <c r="D37">
        <v>11.84979155578001</v>
      </c>
      <c r="E37">
        <v>17.798907975543091</v>
      </c>
      <c r="F37">
        <v>23.764259621203731</v>
      </c>
      <c r="G37">
        <v>29.74591304282411</v>
      </c>
      <c r="H37">
        <v>35.743935154692551</v>
      </c>
      <c r="I37">
        <v>41.758393237818723</v>
      </c>
      <c r="J37">
        <v>47.789354942449307</v>
      </c>
      <c r="K37">
        <v>53.836888290604477</v>
      </c>
      <c r="L37">
        <v>59.901061678635259</v>
      </c>
      <c r="M37">
        <v>65.981943879801946</v>
      </c>
      <c r="N37">
        <v>72.079604046874181</v>
      </c>
      <c r="O37">
        <v>78.194111714752125</v>
      </c>
      <c r="P37">
        <v>84.325536803109756</v>
      </c>
      <c r="Q37">
        <v>90.473949619060022</v>
      </c>
      <c r="R37">
        <v>96.639420859842076</v>
      </c>
      <c r="S37">
        <v>102.822021615531</v>
      </c>
      <c r="T37">
        <v>109.0218233717703</v>
      </c>
      <c r="U37">
        <v>115.2388980125268</v>
      </c>
      <c r="V37">
        <v>121.47331782286901</v>
      </c>
      <c r="W37">
        <v>127.7251554917689</v>
      </c>
      <c r="X37">
        <v>133.99448411492639</v>
      </c>
      <c r="Y37">
        <v>140.28137719761861</v>
      </c>
      <c r="Z37">
        <v>146.58590865757219</v>
      </c>
      <c r="AA37">
        <v>152.90815282786099</v>
      </c>
      <c r="AB37">
        <v>159.24818445982649</v>
      </c>
      <c r="AC37">
        <v>165.6060787260248</v>
      </c>
      <c r="AD37">
        <v>171.98191122319719</v>
      </c>
      <c r="AE37">
        <v>178.37575797526651</v>
      </c>
      <c r="AF37">
        <v>184.7876954363588</v>
      </c>
      <c r="AG37">
        <v>191.21780049385049</v>
      </c>
      <c r="AH37">
        <v>197.66615047144219</v>
      </c>
      <c r="AI37">
        <v>204.1328231322575</v>
      </c>
      <c r="AJ37">
        <v>210.61789668196951</v>
      </c>
      <c r="AK37">
        <v>217.12144977195311</v>
      </c>
      <c r="AL37">
        <v>223.64356150246459</v>
      </c>
      <c r="AM37">
        <v>230.1843114258493</v>
      </c>
      <c r="AN37">
        <v>236.7437795497749</v>
      </c>
      <c r="AO37">
        <v>243.32204634049461</v>
      </c>
      <c r="AP37">
        <v>249.91919272613711</v>
      </c>
      <c r="AQ37">
        <v>256.53530010002521</v>
      </c>
      <c r="AR37">
        <v>263.17045032402348</v>
      </c>
      <c r="AS37">
        <v>269.82472573191461</v>
      </c>
      <c r="AT37">
        <v>276.49820913280428</v>
      </c>
    </row>
    <row r="38" spans="1:46" x14ac:dyDescent="0.25">
      <c r="A38" s="1">
        <f t="shared" si="1"/>
        <v>96.599999999999909</v>
      </c>
      <c r="B38">
        <v>0</v>
      </c>
      <c r="C38">
        <v>6.2603363972921526</v>
      </c>
      <c r="D38">
        <v>12.53870138637666</v>
      </c>
      <c r="E38">
        <v>18.835172957984941</v>
      </c>
      <c r="F38">
        <v>25.149829553343039</v>
      </c>
      <c r="G38">
        <v>31.482750067429048</v>
      </c>
      <c r="H38">
        <v>37.834013852258828</v>
      </c>
      <c r="I38">
        <v>44.203700720200352</v>
      </c>
      <c r="J38">
        <v>50.591890947316841</v>
      </c>
      <c r="K38">
        <v>56.998665276739253</v>
      </c>
      <c r="L38">
        <v>63.424104922067997</v>
      </c>
      <c r="M38">
        <v>69.868291570804686</v>
      </c>
      <c r="N38">
        <v>76.331307387813851</v>
      </c>
      <c r="O38">
        <v>82.813235018814893</v>
      </c>
      <c r="P38">
        <v>89.314157593905037</v>
      </c>
      <c r="Q38">
        <v>95.83415873111305</v>
      </c>
      <c r="R38">
        <v>102.3733225399845</v>
      </c>
      <c r="S38">
        <v>108.9317336251985</v>
      </c>
      <c r="T38">
        <v>115.50947709021629</v>
      </c>
      <c r="U38">
        <v>122.1066385409629</v>
      </c>
      <c r="V38">
        <v>128.72330408954031</v>
      </c>
      <c r="W38">
        <v>135.3595603579744</v>
      </c>
      <c r="X38">
        <v>142.01549448199529</v>
      </c>
      <c r="Y38">
        <v>148.69119411485059</v>
      </c>
      <c r="Z38">
        <v>155.38674743115371</v>
      </c>
      <c r="AA38">
        <v>162.1022431307654</v>
      </c>
      <c r="AB38">
        <v>168.8377704427113</v>
      </c>
      <c r="AC38">
        <v>175.59341912913359</v>
      </c>
      <c r="AD38">
        <v>182.3692794892782</v>
      </c>
      <c r="AE38">
        <v>189.16544236351879</v>
      </c>
      <c r="AF38">
        <v>195.98199913741581</v>
      </c>
      <c r="AG38">
        <v>202.8190417458126</v>
      </c>
      <c r="AH38">
        <v>209.6766626769687</v>
      </c>
      <c r="AI38">
        <v>216.5549549767305</v>
      </c>
      <c r="AJ38">
        <v>223.45401225273889</v>
      </c>
      <c r="AK38">
        <v>230.37392867867649</v>
      </c>
      <c r="AL38">
        <v>237.31479899855211</v>
      </c>
      <c r="AM38">
        <v>244.27671853102501</v>
      </c>
      <c r="AN38">
        <v>251.2597831737678</v>
      </c>
      <c r="AO38">
        <v>258.26408940787059</v>
      </c>
      <c r="AP38">
        <v>265.28973430228359</v>
      </c>
      <c r="AQ38">
        <v>272.33681551830182</v>
      </c>
      <c r="AR38">
        <v>279.40543131408981</v>
      </c>
      <c r="AS38">
        <v>286.49568054924862</v>
      </c>
      <c r="AT38">
        <v>293.60766268942501</v>
      </c>
    </row>
    <row r="39" spans="1:46" x14ac:dyDescent="0.25">
      <c r="A39" s="1">
        <f t="shared" si="1"/>
        <v>98.399999999999906</v>
      </c>
      <c r="B39">
        <v>0</v>
      </c>
      <c r="C39">
        <v>6.6210153982572404</v>
      </c>
      <c r="D39">
        <v>13.262198279063959</v>
      </c>
      <c r="E39">
        <v>19.92364092760176</v>
      </c>
      <c r="F39">
        <v>26.60543619296763</v>
      </c>
      <c r="G39">
        <v>33.307677492487812</v>
      </c>
      <c r="H39">
        <v>40.030458816071373</v>
      </c>
      <c r="I39">
        <v>46.773874730603829</v>
      </c>
      <c r="J39">
        <v>53.53802038438139</v>
      </c>
      <c r="K39">
        <v>60.32299151158599</v>
      </c>
      <c r="L39">
        <v>67.128884436801854</v>
      </c>
      <c r="M39">
        <v>73.955796079573844</v>
      </c>
      <c r="N39">
        <v>80.803823959008184</v>
      </c>
      <c r="O39">
        <v>87.673066198415697</v>
      </c>
      <c r="P39">
        <v>94.563621529998727</v>
      </c>
      <c r="Q39">
        <v>101.4755892995813</v>
      </c>
      <c r="R39">
        <v>108.4090694713835</v>
      </c>
      <c r="S39">
        <v>115.364162632841</v>
      </c>
      <c r="T39">
        <v>122.340969999469</v>
      </c>
      <c r="U39">
        <v>129.3395934197722</v>
      </c>
      <c r="V39">
        <v>136.36013538020089</v>
      </c>
      <c r="W39">
        <v>143.4026990101539</v>
      </c>
      <c r="X39">
        <v>150.4673880870279</v>
      </c>
      <c r="Y39">
        <v>157.55430704131541</v>
      </c>
      <c r="Z39">
        <v>164.66356096175011</v>
      </c>
      <c r="AA39">
        <v>171.79525560050149</v>
      </c>
      <c r="AB39">
        <v>178.94949737841881</v>
      </c>
      <c r="AC39">
        <v>186.1263933903237</v>
      </c>
      <c r="AD39">
        <v>193.32605141035529</v>
      </c>
      <c r="AE39">
        <v>200.54857989736399</v>
      </c>
      <c r="AF39">
        <v>207.7940880003581</v>
      </c>
      <c r="AG39">
        <v>215.06268556400261</v>
      </c>
      <c r="AH39">
        <v>222.35448313416941</v>
      </c>
      <c r="AI39">
        <v>229.66959196354219</v>
      </c>
      <c r="AJ39">
        <v>237.0081240172745</v>
      </c>
      <c r="AK39">
        <v>244.3701919787016</v>
      </c>
      <c r="AL39">
        <v>251.75590925510889</v>
      </c>
      <c r="AM39">
        <v>259.16538998355469</v>
      </c>
      <c r="AN39">
        <v>266.59874903675001</v>
      </c>
      <c r="AO39">
        <v>274.05610202899442</v>
      </c>
      <c r="AP39">
        <v>281.53756532217108</v>
      </c>
      <c r="AQ39">
        <v>289.04325603179859</v>
      </c>
      <c r="AR39">
        <v>296.57329203314168</v>
      </c>
      <c r="AS39">
        <v>304.12779196738308</v>
      </c>
      <c r="AT39">
        <v>311.70687524785308</v>
      </c>
    </row>
    <row r="40" spans="1:46" x14ac:dyDescent="0.25">
      <c r="A40" s="1">
        <f t="shared" si="1"/>
        <v>100.1999999999999</v>
      </c>
      <c r="B40">
        <v>0</v>
      </c>
      <c r="C40">
        <v>6.9995966496588524</v>
      </c>
      <c r="D40">
        <v>14.02173498264497</v>
      </c>
      <c r="E40">
        <v>21.066524065314422</v>
      </c>
      <c r="F40">
        <v>28.134073668773119</v>
      </c>
      <c r="G40">
        <v>35.22449427457839</v>
      </c>
      <c r="H40">
        <v>42.337897080495893</v>
      </c>
      <c r="I40">
        <v>49.474394006312693</v>
      </c>
      <c r="J40">
        <v>56.634097699707027</v>
      </c>
      <c r="K40">
        <v>63.817121542175393</v>
      </c>
      <c r="L40">
        <v>71.023579655017627</v>
      </c>
      <c r="M40">
        <v>78.2535869053808</v>
      </c>
      <c r="N40">
        <v>85.507258912362204</v>
      </c>
      <c r="O40">
        <v>92.78471205317264</v>
      </c>
      <c r="P40">
        <v>100.0860634693603</v>
      </c>
      <c r="Q40">
        <v>107.411431073096</v>
      </c>
      <c r="R40">
        <v>114.7609335535206</v>
      </c>
      <c r="S40">
        <v>122.1346903831552</v>
      </c>
      <c r="T40">
        <v>129.53282182437539</v>
      </c>
      <c r="U40">
        <v>136.95544893594879</v>
      </c>
      <c r="V40">
        <v>144.40269357963851</v>
      </c>
      <c r="W40">
        <v>151.87467842687241</v>
      </c>
      <c r="X40">
        <v>159.37152696547821</v>
      </c>
      <c r="Y40">
        <v>166.89336350648679</v>
      </c>
      <c r="Z40">
        <v>174.4403131910029</v>
      </c>
      <c r="AA40">
        <v>182.01250199714559</v>
      </c>
      <c r="AB40">
        <v>189.6100567470576</v>
      </c>
      <c r="AC40">
        <v>197.23310511398591</v>
      </c>
      <c r="AD40">
        <v>204.88177562943329</v>
      </c>
      <c r="AE40">
        <v>212.55619769038211</v>
      </c>
      <c r="AF40">
        <v>220.25650156659191</v>
      </c>
      <c r="AG40">
        <v>227.98281840796969</v>
      </c>
      <c r="AH40">
        <v>235.73528025201639</v>
      </c>
      <c r="AI40">
        <v>243.5140200313476</v>
      </c>
      <c r="AJ40">
        <v>251.31917158129261</v>
      </c>
      <c r="AK40">
        <v>259.15086964756938</v>
      </c>
      <c r="AL40">
        <v>267.00924989403887</v>
      </c>
      <c r="AM40">
        <v>274.89444891053898</v>
      </c>
      <c r="AN40">
        <v>282.80660422079762</v>
      </c>
      <c r="AO40">
        <v>290.74585429042793</v>
      </c>
      <c r="AP40">
        <v>298.71233853500689</v>
      </c>
      <c r="AQ40">
        <v>306.70619732823462</v>
      </c>
      <c r="AR40">
        <v>314.72757201017947</v>
      </c>
      <c r="AS40">
        <v>322.77660489560952</v>
      </c>
      <c r="AT40">
        <v>330.85343928240752</v>
      </c>
    </row>
    <row r="41" spans="1:46" x14ac:dyDescent="0.25">
      <c r="A41" s="1">
        <f t="shared" si="1"/>
        <v>101.9999999999999</v>
      </c>
      <c r="B41">
        <v>0</v>
      </c>
      <c r="C41">
        <v>7.3968190315843536</v>
      </c>
      <c r="D41">
        <v>14.818813092729981</v>
      </c>
      <c r="E41">
        <v>22.266110927121041</v>
      </c>
      <c r="F41">
        <v>29.738842157791272</v>
      </c>
      <c r="G41">
        <v>37.237137294644548</v>
      </c>
      <c r="H41">
        <v>44.761127742052743</v>
      </c>
      <c r="I41">
        <v>52.310945806531819</v>
      </c>
      <c r="J41">
        <v>59.886724704497126</v>
      </c>
      <c r="K41">
        <v>67.488598570098901</v>
      </c>
      <c r="L41">
        <v>75.116702463138623</v>
      </c>
      <c r="M41">
        <v>82.771172377067856</v>
      </c>
      <c r="N41">
        <v>90.452145247069822</v>
      </c>
      <c r="O41">
        <v>98.159758958225268</v>
      </c>
      <c r="P41">
        <v>105.8941523537633</v>
      </c>
      <c r="Q41">
        <v>113.6554652433985</v>
      </c>
      <c r="R41">
        <v>121.44383841175549</v>
      </c>
      <c r="S41">
        <v>129.2594136268807</v>
      </c>
      <c r="T41">
        <v>137.10233364884519</v>
      </c>
      <c r="U41">
        <v>144.9727422384363</v>
      </c>
      <c r="V41">
        <v>152.87078416594181</v>
      </c>
      <c r="W41">
        <v>160.79660522002681</v>
      </c>
      <c r="X41">
        <v>168.75035221670339</v>
      </c>
      <c r="Y41">
        <v>176.7321730083967</v>
      </c>
      <c r="Z41">
        <v>184.74221649310621</v>
      </c>
      <c r="AA41">
        <v>192.78063262366439</v>
      </c>
      <c r="AB41">
        <v>200.84757241709519</v>
      </c>
      <c r="AC41">
        <v>208.94318796406969</v>
      </c>
      <c r="AD41">
        <v>217.06763243846589</v>
      </c>
      <c r="AE41">
        <v>225.22106010702831</v>
      </c>
      <c r="AF41">
        <v>233.40362633913301</v>
      </c>
      <c r="AG41">
        <v>241.61548761665571</v>
      </c>
      <c r="AH41">
        <v>249.8568015439476</v>
      </c>
      <c r="AI41">
        <v>258.12772685791799</v>
      </c>
      <c r="AJ41">
        <v>266.4284234382261</v>
      </c>
      <c r="AK41">
        <v>274.75905231758247</v>
      </c>
      <c r="AL41">
        <v>283.11977569216282</v>
      </c>
      <c r="AM41">
        <v>291.51075693213483</v>
      </c>
      <c r="AN41">
        <v>299.93216059229837</v>
      </c>
      <c r="AO41">
        <v>308.38415242284441</v>
      </c>
      <c r="AP41">
        <v>316.86689938022681</v>
      </c>
      <c r="AQ41">
        <v>325.38056963815808</v>
      </c>
      <c r="AR41">
        <v>333.92533259872221</v>
      </c>
      <c r="AS41">
        <v>342.50135890361003</v>
      </c>
      <c r="AT41">
        <v>351.10882044547981</v>
      </c>
    </row>
    <row r="42" spans="1:46" x14ac:dyDescent="0.25">
      <c r="A42" s="1">
        <f t="shared" si="1"/>
        <v>103.7999999999999</v>
      </c>
      <c r="B42">
        <v>0</v>
      </c>
      <c r="C42">
        <v>7.8134453769483363</v>
      </c>
      <c r="D42">
        <v>15.654984314948999</v>
      </c>
      <c r="E42">
        <v>23.524768604200212</v>
      </c>
      <c r="F42">
        <v>31.422951130374681</v>
      </c>
      <c r="G42">
        <v>39.349685884520071</v>
      </c>
      <c r="H42">
        <v>47.305127973067037</v>
      </c>
      <c r="I42">
        <v>55.289433627946167</v>
      </c>
      <c r="J42">
        <v>63.30276021681523</v>
      </c>
      <c r="K42">
        <v>71.345266253398165</v>
      </c>
      <c r="L42">
        <v>79.417111407937313</v>
      </c>
      <c r="M42">
        <v>87.518456517760029</v>
      </c>
      <c r="N42">
        <v>95.649463597961542</v>
      </c>
      <c r="O42">
        <v>103.8102958522054</v>
      </c>
      <c r="P42">
        <v>112.0011176836428</v>
      </c>
      <c r="Q42">
        <v>120.2220947059526</v>
      </c>
      <c r="R42">
        <v>128.4733937545036</v>
      </c>
      <c r="S42">
        <v>136.75518289764051</v>
      </c>
      <c r="T42">
        <v>145.06763144809489</v>
      </c>
      <c r="U42">
        <v>153.41090997452409</v>
      </c>
      <c r="V42">
        <v>161.78519031317731</v>
      </c>
      <c r="W42">
        <v>170.19064557969321</v>
      </c>
      <c r="X42">
        <v>178.62745018102919</v>
      </c>
      <c r="Y42">
        <v>187.09577982752381</v>
      </c>
      <c r="Z42">
        <v>195.59581154509539</v>
      </c>
      <c r="AA42">
        <v>204.12772368757811</v>
      </c>
      <c r="AB42">
        <v>212.69169594919569</v>
      </c>
      <c r="AC42">
        <v>221.28790937717781</v>
      </c>
      <c r="AD42">
        <v>229.91654638451789</v>
      </c>
      <c r="AE42">
        <v>238.5777907628763</v>
      </c>
      <c r="AF42">
        <v>247.27182769563001</v>
      </c>
      <c r="AG42">
        <v>255.9988437710704</v>
      </c>
      <c r="AH42">
        <v>264.75902699575153</v>
      </c>
      <c r="AI42">
        <v>273.55256680799152</v>
      </c>
      <c r="AJ42">
        <v>282.37965409152793</v>
      </c>
      <c r="AK42">
        <v>291.2404811893299</v>
      </c>
      <c r="AL42">
        <v>300.13524191756858</v>
      </c>
      <c r="AM42">
        <v>309.06413157974907</v>
      </c>
      <c r="AN42">
        <v>318.02734698100511</v>
      </c>
      <c r="AO42">
        <v>327.02508644255789</v>
      </c>
      <c r="AP42">
        <v>336.05754981634487</v>
      </c>
      <c r="AQ42">
        <v>345.12493849981479</v>
      </c>
      <c r="AR42">
        <v>354.22745545089782</v>
      </c>
      <c r="AS42">
        <v>363.36530520314778</v>
      </c>
      <c r="AT42">
        <v>372.53869388106273</v>
      </c>
    </row>
    <row r="43" spans="1:46" x14ac:dyDescent="0.25">
      <c r="A43" s="1">
        <f t="shared" si="1"/>
        <v>105.59999999999989</v>
      </c>
      <c r="B43">
        <v>0</v>
      </c>
      <c r="C43">
        <v>8.2502630256418339</v>
      </c>
      <c r="D43">
        <v>16.531851757599949</v>
      </c>
      <c r="E43">
        <v>24.844944947700011</v>
      </c>
      <c r="F43">
        <v>33.189722710359177</v>
      </c>
      <c r="G43">
        <v>41.566366535594447</v>
      </c>
      <c r="H43">
        <v>49.975059302180163</v>
      </c>
      <c r="I43">
        <v>58.415985290956897</v>
      </c>
      <c r="J43">
        <v>66.88933019829372</v>
      </c>
      <c r="K43">
        <v>75.395281149705838</v>
      </c>
      <c r="L43">
        <v>83.934026713629692</v>
      </c>
      <c r="M43">
        <v>92.505756915357793</v>
      </c>
      <c r="N43">
        <v>101.11066325113531</v>
      </c>
      <c r="O43">
        <v>109.7489387024205</v>
      </c>
      <c r="P43">
        <v>118.420777750312</v>
      </c>
      <c r="Q43">
        <v>127.12637639014331</v>
      </c>
      <c r="R43">
        <v>135.86593214624969</v>
      </c>
      <c r="S43">
        <v>144.63964408690691</v>
      </c>
      <c r="T43">
        <v>153.44771283944601</v>
      </c>
      <c r="U43">
        <v>162.29034060554611</v>
      </c>
      <c r="V43">
        <v>171.16773117670749</v>
      </c>
      <c r="W43">
        <v>180.08008994990689</v>
      </c>
      <c r="X43">
        <v>189.02762394343941</v>
      </c>
      <c r="Y43">
        <v>198.010541812947</v>
      </c>
      <c r="Z43">
        <v>207.02905386763851</v>
      </c>
      <c r="AA43">
        <v>216.08337208670281</v>
      </c>
      <c r="AB43">
        <v>225.17371013591679</v>
      </c>
      <c r="AC43">
        <v>234.30028338445359</v>
      </c>
      <c r="AD43">
        <v>243.46330892189059</v>
      </c>
      <c r="AE43">
        <v>252.66300557542311</v>
      </c>
      <c r="AF43">
        <v>261.89959392728377</v>
      </c>
      <c r="AG43">
        <v>271.17329633237313</v>
      </c>
      <c r="AH43">
        <v>280.48433693610218</v>
      </c>
      <c r="AI43">
        <v>289.83294169245141</v>
      </c>
      <c r="AJ43">
        <v>299.21933838224919</v>
      </c>
      <c r="AK43">
        <v>308.64375663167141</v>
      </c>
      <c r="AL43">
        <v>318.1064279309665</v>
      </c>
      <c r="AM43">
        <v>327.60758565341041</v>
      </c>
      <c r="AN43">
        <v>337.14746507449053</v>
      </c>
      <c r="AO43">
        <v>346.72630339132769</v>
      </c>
      <c r="AP43">
        <v>356.34433974233491</v>
      </c>
      <c r="AQ43">
        <v>366.00181522711739</v>
      </c>
      <c r="AR43">
        <v>375.69897292661989</v>
      </c>
      <c r="AS43">
        <v>385.43605792352071</v>
      </c>
      <c r="AT43">
        <v>395.21331732287967</v>
      </c>
    </row>
    <row r="44" spans="1:46" x14ac:dyDescent="0.25">
      <c r="A44" s="1">
        <f t="shared" si="1"/>
        <v>107.39999999999989</v>
      </c>
      <c r="B44">
        <v>0</v>
      </c>
      <c r="C44">
        <v>8.7080843871495635</v>
      </c>
      <c r="D44">
        <v>17.45107125503753</v>
      </c>
      <c r="E44">
        <v>26.229170861617689</v>
      </c>
      <c r="F44">
        <v>35.042595157077258</v>
      </c>
      <c r="G44">
        <v>43.89155780089586</v>
      </c>
      <c r="H44">
        <v>52.776274179111248</v>
      </c>
      <c r="I44">
        <v>61.696961421794803</v>
      </c>
      <c r="J44">
        <v>70.653838420739632</v>
      </c>
      <c r="K44">
        <v>79.647125847364478</v>
      </c>
      <c r="L44">
        <v>88.677046170836277</v>
      </c>
      <c r="M44">
        <v>97.743823676414777</v>
      </c>
      <c r="N44">
        <v>106.8476844840222</v>
      </c>
      <c r="O44">
        <v>115.9888565670411</v>
      </c>
      <c r="P44">
        <v>125.16756977134401</v>
      </c>
      <c r="Q44">
        <v>134.3840558345577</v>
      </c>
      <c r="R44">
        <v>143.6385484055667</v>
      </c>
      <c r="S44">
        <v>152.9312830642568</v>
      </c>
      <c r="T44">
        <v>162.26249734150579</v>
      </c>
      <c r="U44">
        <v>171.63243073942201</v>
      </c>
      <c r="V44">
        <v>181.04132475183511</v>
      </c>
      <c r="W44">
        <v>190.48942288504381</v>
      </c>
      <c r="X44">
        <v>199.97697067882279</v>
      </c>
      <c r="Y44">
        <v>209.50421572769389</v>
      </c>
      <c r="Z44">
        <v>219.07140770246411</v>
      </c>
      <c r="AA44">
        <v>228.6787983720362</v>
      </c>
      <c r="AB44">
        <v>238.32664162549329</v>
      </c>
      <c r="AC44">
        <v>248.0151934944646</v>
      </c>
      <c r="AD44">
        <v>257.74471217577383</v>
      </c>
      <c r="AE44">
        <v>267.51545805437581</v>
      </c>
      <c r="AF44">
        <v>277.3276937265851</v>
      </c>
      <c r="AG44">
        <v>287.1816840236018</v>
      </c>
      <c r="AH44">
        <v>297.07769603533768</v>
      </c>
      <c r="AI44">
        <v>307.01599913454783</v>
      </c>
      <c r="AJ44">
        <v>316.99686500127228</v>
      </c>
      <c r="AK44">
        <v>327.02056764759323</v>
      </c>
      <c r="AL44">
        <v>337.08738344271029</v>
      </c>
      <c r="AM44">
        <v>347.19759113834141</v>
      </c>
      <c r="AN44">
        <v>357.35147189445149</v>
      </c>
      <c r="AO44">
        <v>367.5493093053168</v>
      </c>
      <c r="AP44">
        <v>377.79138942592709</v>
      </c>
      <c r="AQ44">
        <v>388.078000798733</v>
      </c>
      <c r="AR44">
        <v>398.4094344807429</v>
      </c>
      <c r="AS44">
        <v>408.78598407097479</v>
      </c>
      <c r="AT44">
        <v>419.20794573826822</v>
      </c>
    </row>
    <row r="45" spans="1:46" x14ac:dyDescent="0.25">
      <c r="A45" s="1">
        <f t="shared" si="1"/>
        <v>109.19999999999989</v>
      </c>
      <c r="B45">
        <v>0</v>
      </c>
      <c r="C45">
        <v>9.1877475118723542</v>
      </c>
      <c r="D45">
        <v>18.414352723196998</v>
      </c>
      <c r="E45">
        <v>27.68006266740435</v>
      </c>
      <c r="F45">
        <v>36.985126476354417</v>
      </c>
      <c r="G45">
        <v>46.329795402665773</v>
      </c>
      <c r="H45">
        <v>55.71432284232997</v>
      </c>
      <c r="I45">
        <v>65.138964357616317</v>
      </c>
      <c r="J45">
        <v>74.603977700270534</v>
      </c>
      <c r="K45">
        <v>84.109622835012715</v>
      </c>
      <c r="L45">
        <v>93.65616196333805</v>
      </c>
      <c r="M45">
        <v>103.2438595476258</v>
      </c>
      <c r="N45">
        <v>112.87298233556029</v>
      </c>
      <c r="O45">
        <v>122.5437993848699</v>
      </c>
      <c r="P45">
        <v>132.25658208838729</v>
      </c>
      <c r="Q45">
        <v>142.01160419943699</v>
      </c>
      <c r="R45">
        <v>151.80914185755489</v>
      </c>
      <c r="S45">
        <v>161.6494736145448</v>
      </c>
      <c r="T45">
        <v>171.53288046087701</v>
      </c>
      <c r="U45">
        <v>181.45964585243439</v>
      </c>
      <c r="V45">
        <v>191.4300557376115</v>
      </c>
      <c r="W45">
        <v>201.44439858477119</v>
      </c>
      <c r="X45">
        <v>211.5029654100662</v>
      </c>
      <c r="Y45">
        <v>221.60604980562849</v>
      </c>
      <c r="Z45">
        <v>231.75394796813569</v>
      </c>
      <c r="AA45">
        <v>241.94695872775611</v>
      </c>
      <c r="AB45">
        <v>252.18538357748341</v>
      </c>
      <c r="AC45">
        <v>262.46952670286169</v>
      </c>
      <c r="AD45">
        <v>272.7996950121115</v>
      </c>
      <c r="AE45">
        <v>283.17619816665967</v>
      </c>
      <c r="AF45">
        <v>293.59934861208302</v>
      </c>
      <c r="AG45">
        <v>304.06946160946762</v>
      </c>
      <c r="AH45">
        <v>314.58685526719518</v>
      </c>
      <c r="AI45">
        <v>325.15185057316017</v>
      </c>
      <c r="AJ45">
        <v>335.76477142742482</v>
      </c>
      <c r="AK45">
        <v>346.42594467532012</v>
      </c>
      <c r="AL45">
        <v>357.13570014100009</v>
      </c>
      <c r="AM45">
        <v>367.89437066145399</v>
      </c>
      <c r="AN45">
        <v>378.70229212098718</v>
      </c>
      <c r="AO45">
        <v>389.55980348617589</v>
      </c>
      <c r="AP45">
        <v>400.46724684130442</v>
      </c>
      <c r="AQ45">
        <v>411.42496742429262</v>
      </c>
      <c r="AR45">
        <v>422.4333136631206</v>
      </c>
      <c r="AS45">
        <v>433.49263721276083</v>
      </c>
      <c r="AT45">
        <v>444.60329299262207</v>
      </c>
    </row>
    <row r="46" spans="1:46" x14ac:dyDescent="0.25">
      <c r="A46" s="1">
        <f t="shared" si="1"/>
        <v>110.99999999999989</v>
      </c>
      <c r="B46">
        <v>0</v>
      </c>
      <c r="C46">
        <v>9.6901166714123814</v>
      </c>
      <c r="D46">
        <v>19.423461548743461</v>
      </c>
      <c r="E46">
        <v>29.200324544175668</v>
      </c>
      <c r="F46">
        <v>39.020998168114382</v>
      </c>
      <c r="G46">
        <v>48.885777558360232</v>
      </c>
      <c r="H46">
        <v>58.794960509675313</v>
      </c>
      <c r="I46">
        <v>68.748847503749516</v>
      </c>
      <c r="J46">
        <v>78.747741739573513</v>
      </c>
      <c r="K46">
        <v>88.791949164224448</v>
      </c>
      <c r="L46">
        <v>98.881778504071193</v>
      </c>
      <c r="M46">
        <v>109.01754129640599</v>
      </c>
      <c r="N46">
        <v>119.1995519215087</v>
      </c>
      <c r="O46">
        <v>129.42812763515121</v>
      </c>
      <c r="P46">
        <v>139.7035886015492</v>
      </c>
      <c r="Q46">
        <v>150.02625792676699</v>
      </c>
      <c r="R46">
        <v>160.39646169258501</v>
      </c>
      <c r="S46">
        <v>170.8145289908357</v>
      </c>
      <c r="T46">
        <v>181.28079195821559</v>
      </c>
      <c r="U46">
        <v>191.79558581158261</v>
      </c>
      <c r="V46">
        <v>202.3592488837447</v>
      </c>
      <c r="W46">
        <v>212.97212265974869</v>
      </c>
      <c r="X46">
        <v>223.63455181367789</v>
      </c>
      <c r="Y46">
        <v>234.34688424596629</v>
      </c>
      <c r="Z46">
        <v>245.10947112123719</v>
      </c>
      <c r="AA46">
        <v>255.9226669066768</v>
      </c>
      <c r="AB46">
        <v>266.78682941094962</v>
      </c>
      <c r="AC46">
        <v>277.70231982366562</v>
      </c>
      <c r="AD46">
        <v>288.66950275540779</v>
      </c>
      <c r="AE46">
        <v>299.688746278331</v>
      </c>
      <c r="AF46">
        <v>310.76042196733812</v>
      </c>
      <c r="AG46">
        <v>321.88490494184759</v>
      </c>
      <c r="AH46">
        <v>333.06257390815898</v>
      </c>
      <c r="AI46">
        <v>344.29381120242772</v>
      </c>
      <c r="AJ46">
        <v>355.57900283425857</v>
      </c>
      <c r="AK46">
        <v>366.91853853093102</v>
      </c>
      <c r="AL46">
        <v>378.31281178226209</v>
      </c>
      <c r="AM46">
        <v>389.76221988612309</v>
      </c>
      <c r="AN46">
        <v>401.26716399461691</v>
      </c>
      <c r="AO46">
        <v>412.82804916092982</v>
      </c>
      <c r="AP46">
        <v>424.44528438686802</v>
      </c>
      <c r="AQ46">
        <v>436.11928267109141</v>
      </c>
      <c r="AR46">
        <v>447.85046105805537</v>
      </c>
      <c r="AS46">
        <v>459.6392406876742</v>
      </c>
      <c r="AT46">
        <v>471.48604684571723</v>
      </c>
    </row>
    <row r="47" spans="1:46" x14ac:dyDescent="0.25">
      <c r="A47" s="1">
        <f t="shared" si="1"/>
        <v>112.79999999999988</v>
      </c>
      <c r="B47">
        <v>0</v>
      </c>
      <c r="C47">
        <v>10.21608294809973</v>
      </c>
      <c r="D47">
        <v>20.48022001343708</v>
      </c>
      <c r="E47">
        <v>30.79275104866915</v>
      </c>
      <c r="F47">
        <v>41.154019118741189</v>
      </c>
      <c r="G47">
        <v>51.564370538929772</v>
      </c>
      <c r="H47">
        <v>62.024154913427687</v>
      </c>
      <c r="I47">
        <v>72.533725174480153</v>
      </c>
      <c r="J47">
        <v>83.0934376220807</v>
      </c>
      <c r="K47">
        <v>93.703651964237054</v>
      </c>
      <c r="L47">
        <v>104.3647313578159</v>
      </c>
      <c r="M47">
        <v>115.0770424499766</v>
      </c>
      <c r="N47">
        <v>125.8409554202032</v>
      </c>
      <c r="O47">
        <v>136.6568440229463</v>
      </c>
      <c r="P47">
        <v>147.52508563088321</v>
      </c>
      <c r="Q47">
        <v>158.44606127880789</v>
      </c>
      <c r="R47">
        <v>169.4201557081621</v>
      </c>
      <c r="S47">
        <v>180.44775741221741</v>
      </c>
      <c r="T47">
        <v>191.529258681919</v>
      </c>
      <c r="U47">
        <v>202.6650556524047</v>
      </c>
      <c r="V47">
        <v>213.85554835020881</v>
      </c>
      <c r="W47">
        <v>225.10114074116271</v>
      </c>
      <c r="X47">
        <v>236.40224077900589</v>
      </c>
      <c r="Y47">
        <v>247.75926045471709</v>
      </c>
      <c r="Z47">
        <v>259.17261584658172</v>
      </c>
      <c r="AA47">
        <v>270.64272717100351</v>
      </c>
      <c r="AB47">
        <v>282.17001883407829</v>
      </c>
      <c r="AC47">
        <v>293.75491948394023</v>
      </c>
      <c r="AD47">
        <v>305.39786206389408</v>
      </c>
      <c r="AE47">
        <v>317.09928386634982</v>
      </c>
      <c r="AF47">
        <v>328.85962658756978</v>
      </c>
      <c r="AG47">
        <v>340.679336383247</v>
      </c>
      <c r="AH47">
        <v>352.55886392492641</v>
      </c>
      <c r="AI47">
        <v>364.49866445728418</v>
      </c>
      <c r="AJ47">
        <v>376.49919785628248</v>
      </c>
      <c r="AK47">
        <v>388.56092868821293</v>
      </c>
      <c r="AL47">
        <v>400.68432626964619</v>
      </c>
      <c r="AM47">
        <v>412.8698647283033</v>
      </c>
      <c r="AN47">
        <v>425.11802306486487</v>
      </c>
      <c r="AO47">
        <v>437.42928521573651</v>
      </c>
      <c r="AP47">
        <v>449.80414011678641</v>
      </c>
      <c r="AQ47">
        <v>462.24308176807313</v>
      </c>
      <c r="AR47">
        <v>474.74660929958202</v>
      </c>
      <c r="AS47">
        <v>487.31522703798743</v>
      </c>
      <c r="AT47">
        <v>499.94944457446138</v>
      </c>
    </row>
    <row r="48" spans="1:46" x14ac:dyDescent="0.25">
      <c r="A48" s="1">
        <f t="shared" si="1"/>
        <v>114.59999999999988</v>
      </c>
      <c r="B48">
        <v>0</v>
      </c>
      <c r="C48">
        <v>10.766564834060979</v>
      </c>
      <c r="D48">
        <v>21.586508755410929</v>
      </c>
      <c r="E48">
        <v>32.46022971936349</v>
      </c>
      <c r="F48">
        <v>43.388129646904503</v>
      </c>
      <c r="G48">
        <v>54.370614474213369</v>
      </c>
      <c r="H48">
        <v>65.408094202928368</v>
      </c>
      <c r="I48">
        <v>76.500982951168936</v>
      </c>
      <c r="J48">
        <v>87.649699005328401</v>
      </c>
      <c r="K48">
        <v>98.854664872650403</v>
      </c>
      <c r="L48">
        <v>110.1163073346035</v>
      </c>
      <c r="M48">
        <v>121.4350575010676</v>
      </c>
      <c r="N48">
        <v>132.81135086534661</v>
      </c>
      <c r="O48">
        <v>144.24562736002241</v>
      </c>
      <c r="P48">
        <v>155.73833141366549</v>
      </c>
      <c r="Q48">
        <v>167.28991200841631</v>
      </c>
      <c r="R48">
        <v>178.90082273845451</v>
      </c>
      <c r="S48">
        <v>190.57152186937111</v>
      </c>
      <c r="T48">
        <v>202.30247239846071</v>
      </c>
      <c r="U48">
        <v>214.0941421159489</v>
      </c>
      <c r="V48">
        <v>225.94700366717379</v>
      </c>
      <c r="W48">
        <v>237.86153461573809</v>
      </c>
      <c r="X48">
        <v>249.83821750764869</v>
      </c>
      <c r="Y48">
        <v>261.87753993646362</v>
      </c>
      <c r="Z48">
        <v>273.97999460946278</v>
      </c>
      <c r="AA48">
        <v>286.146079414864</v>
      </c>
      <c r="AB48">
        <v>298.3762974901</v>
      </c>
      <c r="AC48">
        <v>310.67115729117938</v>
      </c>
      <c r="AD48">
        <v>323.03117266315053</v>
      </c>
      <c r="AE48">
        <v>335.45686291168738</v>
      </c>
      <c r="AF48">
        <v>347.94875287582062</v>
      </c>
      <c r="AG48">
        <v>360.50737300183391</v>
      </c>
      <c r="AH48">
        <v>373.13325941834751</v>
      </c>
      <c r="AI48">
        <v>385.82695401261179</v>
      </c>
      <c r="AJ48">
        <v>398.58900450803338</v>
      </c>
      <c r="AK48">
        <v>411.41996454295651</v>
      </c>
      <c r="AL48">
        <v>424.32039375072492</v>
      </c>
      <c r="AM48">
        <v>437.29085784104632</v>
      </c>
      <c r="AN48">
        <v>450.33192868268799</v>
      </c>
      <c r="AO48">
        <v>463.44418438752348</v>
      </c>
      <c r="AP48">
        <v>476.62820939596179</v>
      </c>
      <c r="AQ48">
        <v>489.88459456378217</v>
      </c>
      <c r="AR48">
        <v>503.21393725040332</v>
      </c>
      <c r="AS48">
        <v>516.61684140861223</v>
      </c>
      <c r="AT48">
        <v>530.09391767578541</v>
      </c>
    </row>
    <row r="49" spans="1:46" x14ac:dyDescent="0.25">
      <c r="A49" s="1">
        <f t="shared" si="1"/>
        <v>116.39999999999988</v>
      </c>
      <c r="B49">
        <v>0</v>
      </c>
      <c r="C49">
        <v>11.34250884015429</v>
      </c>
      <c r="D49">
        <v>22.74426826917075</v>
      </c>
      <c r="E49">
        <v>34.205743769470317</v>
      </c>
      <c r="F49">
        <v>45.727405712151871</v>
      </c>
      <c r="G49">
        <v>57.309729421339533</v>
      </c>
      <c r="H49">
        <v>68.953195239549359</v>
      </c>
      <c r="I49">
        <v>80.658288594093619</v>
      </c>
      <c r="J49">
        <v>92.425500064542575</v>
      </c>
      <c r="K49">
        <v>104.25532545126291</v>
      </c>
      <c r="L49">
        <v>116.1482658450534</v>
      </c>
      <c r="M49">
        <v>128.104827697898</v>
      </c>
      <c r="N49">
        <v>140.12552289485731</v>
      </c>
      <c r="O49">
        <v>152.21086882712061</v>
      </c>
      <c r="P49">
        <v>164.36138846623871</v>
      </c>
      <c r="Q49">
        <v>176.57761043956199</v>
      </c>
      <c r="R49">
        <v>188.86006910690551</v>
      </c>
      <c r="S49">
        <v>201.20930463846321</v>
      </c>
      <c r="T49">
        <v>213.62586309399839</v>
      </c>
      <c r="U49">
        <v>226.1102965033312</v>
      </c>
      <c r="V49">
        <v>238.6631629481507</v>
      </c>
      <c r="W49">
        <v>251.28502664517521</v>
      </c>
      <c r="X49">
        <v>263.97645803068872</v>
      </c>
      <c r="Y49">
        <v>276.73803384647749</v>
      </c>
      <c r="Z49">
        <v>289.57033722719768</v>
      </c>
      <c r="AA49">
        <v>302.47395778919707</v>
      </c>
      <c r="AB49">
        <v>315.44949172082357</v>
      </c>
      <c r="AC49">
        <v>328.49754187424782</v>
      </c>
      <c r="AD49">
        <v>341.61871785882852</v>
      </c>
      <c r="AE49">
        <v>354.81363613605271</v>
      </c>
      <c r="AF49">
        <v>368.08292011608182</v>
      </c>
      <c r="AG49">
        <v>381.42720025593258</v>
      </c>
      <c r="AH49">
        <v>394.84711415933077</v>
      </c>
      <c r="AI49">
        <v>408.3433066782639</v>
      </c>
      <c r="AJ49">
        <v>421.91643001627358</v>
      </c>
      <c r="AK49">
        <v>435.56714383351721</v>
      </c>
      <c r="AL49">
        <v>449.29611535363802</v>
      </c>
      <c r="AM49">
        <v>463.10401947247738</v>
      </c>
      <c r="AN49">
        <v>476.99153886866873</v>
      </c>
      <c r="AO49">
        <v>490.95936411614781</v>
      </c>
      <c r="AP49">
        <v>505.00819379862389</v>
      </c>
      <c r="AQ49">
        <v>519.13873462604465</v>
      </c>
      <c r="AR49">
        <v>533.35170155310209</v>
      </c>
      <c r="AS49">
        <v>547.64781789981623</v>
      </c>
      <c r="AT49">
        <v>562.02781547424263</v>
      </c>
    </row>
    <row r="50" spans="1:46" x14ac:dyDescent="0.25">
      <c r="A50" s="1">
        <f t="shared" si="1"/>
        <v>118.19999999999987</v>
      </c>
      <c r="B50">
        <v>0</v>
      </c>
      <c r="C50">
        <v>11.944890115119421</v>
      </c>
      <c r="D50">
        <v>23.955500446243221</v>
      </c>
      <c r="E50">
        <v>36.032374873816941</v>
      </c>
      <c r="F50">
        <v>48.176063296204987</v>
      </c>
      <c r="G50">
        <v>60.38712171315521</v>
      </c>
      <c r="H50">
        <v>72.666112310656501</v>
      </c>
      <c r="I50">
        <v>85.013603547216533</v>
      </c>
      <c r="J50">
        <v>97.430170241587447</v>
      </c>
      <c r="K50">
        <v>109.9163936619681</v>
      </c>
      <c r="L50">
        <v>122.4728616167116</v>
      </c>
      <c r="M50">
        <v>135.10016854656831</v>
      </c>
      <c r="N50">
        <v>147.79891561849419</v>
      </c>
      <c r="O50">
        <v>160.56971082105599</v>
      </c>
      <c r="P50">
        <v>173.4131690614652</v>
      </c>
      <c r="Q50">
        <v>186.32991226427231</v>
      </c>
      <c r="R50">
        <v>199.3205694717563</v>
      </c>
      <c r="S50">
        <v>212.3857769460416</v>
      </c>
      <c r="T50">
        <v>225.52617827297891</v>
      </c>
      <c r="U50">
        <v>238.74242446782401</v>
      </c>
      <c r="V50">
        <v>252.0351740827528</v>
      </c>
      <c r="W50">
        <v>265.40509331624742</v>
      </c>
      <c r="X50">
        <v>278.85285612439469</v>
      </c>
      <c r="Y50">
        <v>292.37914433413289</v>
      </c>
      <c r="Z50">
        <v>305.98464775848851</v>
      </c>
      <c r="AA50">
        <v>319.67006431384431</v>
      </c>
      <c r="AB50">
        <v>333.43610013927889</v>
      </c>
      <c r="AC50">
        <v>347.28346971802199</v>
      </c>
      <c r="AD50">
        <v>361.21289600106883</v>
      </c>
      <c r="AE50">
        <v>375.22511053299831</v>
      </c>
      <c r="AF50">
        <v>389.32085358004241</v>
      </c>
      <c r="AG50">
        <v>403.50087426045019</v>
      </c>
      <c r="AH50">
        <v>417.76593067720069</v>
      </c>
      <c r="AI50">
        <v>432.11679005310731</v>
      </c>
      <c r="AJ50">
        <v>446.55422886836908</v>
      </c>
      <c r="AK50">
        <v>461.0790330006198</v>
      </c>
      <c r="AL50">
        <v>475.69199786752438</v>
      </c>
      <c r="AM50">
        <v>490.39392857198339</v>
      </c>
      <c r="AN50">
        <v>505.18564004999467</v>
      </c>
      <c r="AO50">
        <v>520.06795722123468</v>
      </c>
      <c r="AP50">
        <v>535.04171514241239</v>
      </c>
      <c r="AQ50">
        <v>550.10775916346222</v>
      </c>
      <c r="AR50">
        <v>565.26694508663059</v>
      </c>
      <c r="AS50">
        <v>580.52013932852469</v>
      </c>
      <c r="AT50">
        <v>595.86821908518357</v>
      </c>
    </row>
    <row r="51" spans="1:46" x14ac:dyDescent="0.25">
      <c r="A51" s="1">
        <f t="shared" si="1"/>
        <v>119.99999999999987</v>
      </c>
      <c r="B51">
        <v>0</v>
      </c>
      <c r="C51">
        <v>12.57471307531763</v>
      </c>
      <c r="D51">
        <v>25.222270158524921</v>
      </c>
      <c r="E51">
        <v>37.943306054969973</v>
      </c>
      <c r="F51">
        <v>50.738462967577291</v>
      </c>
      <c r="G51">
        <v>63.608390604920338</v>
      </c>
      <c r="H51">
        <v>76.553746291194273</v>
      </c>
      <c r="I51">
        <v>89.575195078127933</v>
      </c>
      <c r="J51">
        <v>102.6734098588752</v>
      </c>
      <c r="K51">
        <v>115.84907148392629</v>
      </c>
      <c r="L51">
        <v>129.102868879082</v>
      </c>
      <c r="M51">
        <v>142.43549916553161</v>
      </c>
      <c r="N51">
        <v>155.84766778208169</v>
      </c>
      <c r="O51">
        <v>169.34008860957741</v>
      </c>
      <c r="P51">
        <v>182.91348409756489</v>
      </c>
      <c r="Q51">
        <v>196.5685853932406</v>
      </c>
      <c r="R51">
        <v>210.3061324727361</v>
      </c>
      <c r="S51">
        <v>224.12687427478929</v>
      </c>
      <c r="T51">
        <v>238.03156883684929</v>
      </c>
      <c r="U51">
        <v>252.02098343367169</v>
      </c>
      <c r="V51">
        <v>266.09589471845288</v>
      </c>
      <c r="W51">
        <v>280.25708886656128</v>
      </c>
      <c r="X51">
        <v>294.50536172191909</v>
      </c>
      <c r="Y51">
        <v>308.8415189460934</v>
      </c>
      <c r="Z51">
        <v>323.26637617015399</v>
      </c>
      <c r="AA51">
        <v>337.78075914935971</v>
      </c>
      <c r="AB51">
        <v>352.38550392073199</v>
      </c>
      <c r="AC51">
        <v>367.08145696358332</v>
      </c>
      <c r="AD51">
        <v>381.86947536305962</v>
      </c>
      <c r="AE51">
        <v>396.75042697676832</v>
      </c>
      <c r="AF51">
        <v>411.72519060455647</v>
      </c>
      <c r="AG51">
        <v>426.79465616151037</v>
      </c>
      <c r="AH51">
        <v>441.95972485424852</v>
      </c>
      <c r="AI51">
        <v>457.22130936057818</v>
      </c>
      <c r="AJ51">
        <v>472.58033401259621</v>
      </c>
      <c r="AK51">
        <v>488.03773498330611</v>
      </c>
      <c r="AL51">
        <v>503.59446047683309</v>
      </c>
      <c r="AM51">
        <v>519.25147092231759</v>
      </c>
      <c r="AN51">
        <v>535.00973917157205</v>
      </c>
      <c r="AO51">
        <v>550.87025070058178</v>
      </c>
      <c r="AP51">
        <v>566.83400381494459</v>
      </c>
      <c r="AQ51">
        <v>582.90200985933257</v>
      </c>
      <c r="AR51">
        <v>599.07529343107251</v>
      </c>
      <c r="AS51">
        <v>615.35489259793735</v>
      </c>
      <c r="AT51">
        <v>631.74185912024757</v>
      </c>
    </row>
    <row r="52" spans="1:46" x14ac:dyDescent="0.25">
      <c r="A52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2AAA-1FD3-43C3-8E78-A5A2D1E5AADD}">
  <dimension ref="A1:BU52"/>
  <sheetViews>
    <sheetView zoomScaleNormal="100" workbookViewId="0">
      <selection activeCell="F20" sqref="F20"/>
    </sheetView>
  </sheetViews>
  <sheetFormatPr defaultRowHeight="15" x14ac:dyDescent="0.25"/>
  <sheetData>
    <row r="1" spans="1:73" x14ac:dyDescent="0.25">
      <c r="B1" s="1">
        <v>10</v>
      </c>
      <c r="C1" s="1">
        <f>B1+1</f>
        <v>11</v>
      </c>
      <c r="D1" s="1">
        <f t="shared" ref="D1:BO1" si="0">C1+1</f>
        <v>12</v>
      </c>
      <c r="E1" s="1">
        <f t="shared" si="0"/>
        <v>13</v>
      </c>
      <c r="F1" s="1">
        <f t="shared" si="0"/>
        <v>14</v>
      </c>
      <c r="G1" s="1">
        <f t="shared" si="0"/>
        <v>15</v>
      </c>
      <c r="H1" s="1">
        <f t="shared" si="0"/>
        <v>16</v>
      </c>
      <c r="I1" s="1">
        <f t="shared" si="0"/>
        <v>17</v>
      </c>
      <c r="J1" s="1">
        <f t="shared" si="0"/>
        <v>18</v>
      </c>
      <c r="K1" s="1">
        <f t="shared" si="0"/>
        <v>19</v>
      </c>
      <c r="L1" s="1">
        <f t="shared" si="0"/>
        <v>20</v>
      </c>
      <c r="M1" s="1">
        <f t="shared" si="0"/>
        <v>21</v>
      </c>
      <c r="N1" s="1">
        <f t="shared" si="0"/>
        <v>22</v>
      </c>
      <c r="O1" s="1">
        <f t="shared" si="0"/>
        <v>23</v>
      </c>
      <c r="P1" s="1">
        <f t="shared" si="0"/>
        <v>24</v>
      </c>
      <c r="Q1" s="1">
        <f t="shared" si="0"/>
        <v>25</v>
      </c>
      <c r="R1" s="1">
        <f t="shared" si="0"/>
        <v>26</v>
      </c>
      <c r="S1" s="1">
        <f t="shared" si="0"/>
        <v>27</v>
      </c>
      <c r="T1" s="1">
        <f t="shared" si="0"/>
        <v>28</v>
      </c>
      <c r="U1" s="1">
        <f t="shared" si="0"/>
        <v>29</v>
      </c>
      <c r="V1" s="1">
        <f t="shared" si="0"/>
        <v>30</v>
      </c>
      <c r="W1" s="1">
        <f t="shared" si="0"/>
        <v>31</v>
      </c>
      <c r="X1" s="1">
        <f t="shared" si="0"/>
        <v>32</v>
      </c>
      <c r="Y1" s="1">
        <f t="shared" si="0"/>
        <v>33</v>
      </c>
      <c r="Z1" s="1">
        <f t="shared" si="0"/>
        <v>34</v>
      </c>
      <c r="AA1" s="1">
        <f t="shared" si="0"/>
        <v>35</v>
      </c>
      <c r="AB1" s="1">
        <f t="shared" si="0"/>
        <v>36</v>
      </c>
      <c r="AC1" s="1">
        <f t="shared" si="0"/>
        <v>37</v>
      </c>
      <c r="AD1" s="1">
        <f t="shared" si="0"/>
        <v>38</v>
      </c>
      <c r="AE1" s="1">
        <f t="shared" si="0"/>
        <v>39</v>
      </c>
      <c r="AF1" s="1">
        <f t="shared" si="0"/>
        <v>40</v>
      </c>
      <c r="AG1" s="1">
        <f t="shared" si="0"/>
        <v>41</v>
      </c>
      <c r="AH1" s="1">
        <f t="shared" si="0"/>
        <v>42</v>
      </c>
      <c r="AI1" s="1">
        <f t="shared" si="0"/>
        <v>43</v>
      </c>
      <c r="AJ1" s="1">
        <f t="shared" si="0"/>
        <v>44</v>
      </c>
      <c r="AK1" s="1">
        <f t="shared" si="0"/>
        <v>45</v>
      </c>
      <c r="AL1" s="1">
        <f t="shared" si="0"/>
        <v>46</v>
      </c>
      <c r="AM1" s="1">
        <f t="shared" si="0"/>
        <v>47</v>
      </c>
      <c r="AN1" s="1">
        <f t="shared" si="0"/>
        <v>48</v>
      </c>
      <c r="AO1" s="1">
        <f t="shared" si="0"/>
        <v>49</v>
      </c>
      <c r="AP1" s="1">
        <f t="shared" si="0"/>
        <v>50</v>
      </c>
      <c r="AQ1" s="1">
        <f t="shared" si="0"/>
        <v>51</v>
      </c>
      <c r="AR1" s="1">
        <f t="shared" si="0"/>
        <v>52</v>
      </c>
      <c r="AS1" s="1">
        <f t="shared" si="0"/>
        <v>53</v>
      </c>
      <c r="AT1" s="1">
        <f t="shared" si="0"/>
        <v>54</v>
      </c>
      <c r="AU1" s="1">
        <f t="shared" si="0"/>
        <v>55</v>
      </c>
      <c r="AV1" s="1">
        <f t="shared" si="0"/>
        <v>56</v>
      </c>
      <c r="AW1" s="1">
        <f t="shared" si="0"/>
        <v>57</v>
      </c>
      <c r="AX1" s="1">
        <f t="shared" si="0"/>
        <v>58</v>
      </c>
      <c r="AY1" s="1">
        <f t="shared" si="0"/>
        <v>59</v>
      </c>
      <c r="AZ1" s="1">
        <f t="shared" si="0"/>
        <v>60</v>
      </c>
      <c r="BA1" s="1">
        <f t="shared" si="0"/>
        <v>61</v>
      </c>
      <c r="BB1" s="1">
        <f t="shared" si="0"/>
        <v>62</v>
      </c>
      <c r="BC1" s="1">
        <f t="shared" si="0"/>
        <v>63</v>
      </c>
      <c r="BD1" s="1">
        <f t="shared" si="0"/>
        <v>64</v>
      </c>
      <c r="BE1" s="1">
        <f t="shared" si="0"/>
        <v>65</v>
      </c>
      <c r="BF1" s="1">
        <f t="shared" si="0"/>
        <v>66</v>
      </c>
      <c r="BG1" s="1">
        <f t="shared" si="0"/>
        <v>67</v>
      </c>
      <c r="BH1" s="1">
        <f t="shared" si="0"/>
        <v>68</v>
      </c>
      <c r="BI1" s="1">
        <f t="shared" si="0"/>
        <v>69</v>
      </c>
      <c r="BJ1" s="1">
        <f t="shared" si="0"/>
        <v>70</v>
      </c>
      <c r="BK1" s="1">
        <f t="shared" si="0"/>
        <v>71</v>
      </c>
      <c r="BL1" s="1">
        <f t="shared" si="0"/>
        <v>72</v>
      </c>
      <c r="BM1" s="1">
        <f t="shared" si="0"/>
        <v>73</v>
      </c>
      <c r="BN1" s="1">
        <f t="shared" si="0"/>
        <v>74</v>
      </c>
      <c r="BO1" s="1">
        <f t="shared" si="0"/>
        <v>75</v>
      </c>
      <c r="BP1" s="1">
        <f t="shared" ref="BP1:BT1" si="1">BO1+1</f>
        <v>76</v>
      </c>
      <c r="BQ1" s="1">
        <f t="shared" si="1"/>
        <v>77</v>
      </c>
      <c r="BR1" s="1">
        <f t="shared" si="1"/>
        <v>78</v>
      </c>
      <c r="BS1" s="1">
        <f t="shared" si="1"/>
        <v>79</v>
      </c>
      <c r="BT1" s="1">
        <f t="shared" si="1"/>
        <v>80</v>
      </c>
      <c r="BU1" t="s">
        <v>2</v>
      </c>
    </row>
    <row r="2" spans="1:73" x14ac:dyDescent="0.25">
      <c r="A2" s="1">
        <f>30+1.8</f>
        <v>31.8</v>
      </c>
      <c r="B2">
        <v>17.921701738876301</v>
      </c>
      <c r="C2">
        <v>24.34712006964731</v>
      </c>
      <c r="D2">
        <v>30.772538400418309</v>
      </c>
      <c r="E2">
        <v>37.197956731189308</v>
      </c>
      <c r="F2">
        <v>43.623375061960317</v>
      </c>
      <c r="G2">
        <v>50.048793392731334</v>
      </c>
      <c r="H2">
        <v>56.474211723502329</v>
      </c>
      <c r="I2">
        <v>62.899630054273331</v>
      </c>
      <c r="J2">
        <v>69.32504838504434</v>
      </c>
      <c r="K2">
        <v>75.75046671581535</v>
      </c>
      <c r="L2">
        <v>82.175885046586345</v>
      </c>
      <c r="M2">
        <v>88.60130337735734</v>
      </c>
      <c r="N2">
        <v>95.026721708128349</v>
      </c>
      <c r="O2">
        <v>101.4521400388994</v>
      </c>
      <c r="P2">
        <v>107.8775583696704</v>
      </c>
      <c r="Q2">
        <v>114.30297670044131</v>
      </c>
      <c r="R2">
        <v>120.7283950312124</v>
      </c>
      <c r="S2">
        <v>127.1538133619834</v>
      </c>
      <c r="T2">
        <v>133.57923169275441</v>
      </c>
      <c r="U2">
        <v>140.00465002352539</v>
      </c>
      <c r="V2">
        <v>146.4300683542964</v>
      </c>
      <c r="W2">
        <v>152.8554866850674</v>
      </c>
      <c r="X2">
        <v>159.28090501583841</v>
      </c>
      <c r="Y2">
        <v>165.70632334660939</v>
      </c>
      <c r="Z2">
        <v>172.1317416773804</v>
      </c>
      <c r="AA2">
        <v>178.55716000815141</v>
      </c>
      <c r="AB2">
        <v>184.98257833892239</v>
      </c>
      <c r="AC2">
        <v>191.4079966696934</v>
      </c>
      <c r="AD2">
        <v>197.83341500046441</v>
      </c>
      <c r="AE2">
        <v>204.25883333123539</v>
      </c>
      <c r="AF2">
        <v>210.6842516620064</v>
      </c>
      <c r="AG2">
        <v>217.10966999277741</v>
      </c>
      <c r="AH2">
        <v>223.53508832354839</v>
      </c>
      <c r="AI2">
        <v>229.9605066543194</v>
      </c>
      <c r="AJ2">
        <v>236.38592498509041</v>
      </c>
      <c r="AK2">
        <v>242.81134331586139</v>
      </c>
      <c r="AL2">
        <v>249.2367616466324</v>
      </c>
      <c r="AM2">
        <v>255.6621799774035</v>
      </c>
      <c r="AN2">
        <v>262.08759830817439</v>
      </c>
      <c r="AO2">
        <v>268.51301663894549</v>
      </c>
      <c r="AP2">
        <v>274.93843496971652</v>
      </c>
      <c r="AQ2">
        <v>281.36385330048751</v>
      </c>
      <c r="AR2">
        <v>287.78927163125849</v>
      </c>
      <c r="AS2">
        <v>294.21468996202952</v>
      </c>
      <c r="AT2">
        <v>300.64010829280051</v>
      </c>
      <c r="AU2">
        <v>307.06552662357149</v>
      </c>
      <c r="AV2">
        <v>313.49094495434252</v>
      </c>
      <c r="AW2">
        <v>319.9163632851135</v>
      </c>
      <c r="AX2">
        <v>326.34178161588449</v>
      </c>
      <c r="AY2">
        <v>332.76719994665552</v>
      </c>
      <c r="AZ2">
        <v>339.1926182774265</v>
      </c>
      <c r="BA2">
        <v>345.61803660819749</v>
      </c>
      <c r="BB2">
        <v>352.04345493896852</v>
      </c>
      <c r="BC2">
        <v>358.4688732697395</v>
      </c>
      <c r="BD2">
        <v>364.89429160051048</v>
      </c>
      <c r="BE2">
        <v>371.31970993128152</v>
      </c>
      <c r="BF2">
        <v>377.74512826205262</v>
      </c>
      <c r="BG2">
        <v>384.17054659282348</v>
      </c>
      <c r="BH2">
        <v>390.59596492359452</v>
      </c>
      <c r="BI2">
        <v>397.02138325436562</v>
      </c>
      <c r="BJ2">
        <v>403.44680158513648</v>
      </c>
      <c r="BK2">
        <v>409.87221991590758</v>
      </c>
      <c r="BL2">
        <v>416.29763824667862</v>
      </c>
      <c r="BM2">
        <v>422.72305657744971</v>
      </c>
      <c r="BN2">
        <v>429.14847490822058</v>
      </c>
      <c r="BO2">
        <v>435.57389323899167</v>
      </c>
      <c r="BP2">
        <v>441.99931156976271</v>
      </c>
      <c r="BQ2">
        <v>448.42472990053358</v>
      </c>
      <c r="BR2">
        <v>454.85014823130462</v>
      </c>
      <c r="BS2">
        <v>461.27556656207571</v>
      </c>
      <c r="BT2">
        <v>467.70098489284658</v>
      </c>
    </row>
    <row r="3" spans="1:73" x14ac:dyDescent="0.25">
      <c r="A3" s="1">
        <f>A2+1.8</f>
        <v>33.6</v>
      </c>
      <c r="B3">
        <v>15.07274175884841</v>
      </c>
      <c r="C3">
        <v>21.49324285866042</v>
      </c>
      <c r="D3">
        <v>27.91374395847242</v>
      </c>
      <c r="E3">
        <v>34.334245058284417</v>
      </c>
      <c r="F3">
        <v>40.754746158096417</v>
      </c>
      <c r="G3">
        <v>47.175247257908431</v>
      </c>
      <c r="H3">
        <v>53.595748357720439</v>
      </c>
      <c r="I3">
        <v>60.016249457532439</v>
      </c>
      <c r="J3">
        <v>66.436750557344439</v>
      </c>
      <c r="K3">
        <v>72.857251657156439</v>
      </c>
      <c r="L3">
        <v>79.277752756968454</v>
      </c>
      <c r="M3">
        <v>85.698253856780454</v>
      </c>
      <c r="N3">
        <v>92.118754956592454</v>
      </c>
      <c r="O3">
        <v>98.539256056404454</v>
      </c>
      <c r="P3">
        <v>104.9597571562165</v>
      </c>
      <c r="Q3">
        <v>111.3802582560285</v>
      </c>
      <c r="R3">
        <v>117.8007593558405</v>
      </c>
      <c r="S3">
        <v>124.2212604556525</v>
      </c>
      <c r="T3">
        <v>130.64176155546451</v>
      </c>
      <c r="U3">
        <v>137.0622626552765</v>
      </c>
      <c r="V3">
        <v>143.48276375508851</v>
      </c>
      <c r="W3">
        <v>149.9032648549005</v>
      </c>
      <c r="X3">
        <v>156.32376595471251</v>
      </c>
      <c r="Y3">
        <v>162.7442670545245</v>
      </c>
      <c r="Z3">
        <v>169.16476815433651</v>
      </c>
      <c r="AA3">
        <v>175.5852692541485</v>
      </c>
      <c r="AB3">
        <v>182.00577035396049</v>
      </c>
      <c r="AC3">
        <v>188.4262714537725</v>
      </c>
      <c r="AD3">
        <v>194.84677255358449</v>
      </c>
      <c r="AE3">
        <v>201.2672736533965</v>
      </c>
      <c r="AF3">
        <v>207.68777475320849</v>
      </c>
      <c r="AG3">
        <v>214.1082758530205</v>
      </c>
      <c r="AH3">
        <v>220.52877695283249</v>
      </c>
      <c r="AI3">
        <v>226.9492780526445</v>
      </c>
      <c r="AJ3">
        <v>233.36977915245649</v>
      </c>
      <c r="AK3">
        <v>239.7902802522685</v>
      </c>
      <c r="AL3">
        <v>246.21078135208049</v>
      </c>
      <c r="AM3">
        <v>252.6312824518925</v>
      </c>
      <c r="AN3">
        <v>259.05178355170449</v>
      </c>
      <c r="AO3">
        <v>265.47228465151647</v>
      </c>
      <c r="AP3">
        <v>271.89278575132852</v>
      </c>
      <c r="AQ3">
        <v>278.3132868511405</v>
      </c>
      <c r="AR3">
        <v>284.73378795095249</v>
      </c>
      <c r="AS3">
        <v>291.15428905076459</v>
      </c>
      <c r="AT3">
        <v>297.57479015057658</v>
      </c>
      <c r="AU3">
        <v>303.99529125038862</v>
      </c>
      <c r="AV3">
        <v>310.41579235020049</v>
      </c>
      <c r="AW3">
        <v>316.83629345001259</v>
      </c>
      <c r="AX3">
        <v>323.25679454982458</v>
      </c>
      <c r="AY3">
        <v>329.67729564963662</v>
      </c>
      <c r="AZ3">
        <v>336.09779674944861</v>
      </c>
      <c r="BA3">
        <v>342.51829784926059</v>
      </c>
      <c r="BB3">
        <v>348.93879894907258</v>
      </c>
      <c r="BC3">
        <v>355.35930004888462</v>
      </c>
      <c r="BD3">
        <v>361.77980114869661</v>
      </c>
      <c r="BE3">
        <v>368.20030224850859</v>
      </c>
      <c r="BF3">
        <v>374.62080334832058</v>
      </c>
      <c r="BG3">
        <v>381.04130444813262</v>
      </c>
      <c r="BH3">
        <v>387.46180554794461</v>
      </c>
      <c r="BI3">
        <v>393.88230664775659</v>
      </c>
      <c r="BJ3">
        <v>400.30280774756858</v>
      </c>
      <c r="BK3">
        <v>406.72330884738062</v>
      </c>
      <c r="BL3">
        <v>413.14380994719261</v>
      </c>
      <c r="BM3">
        <v>419.56431104700459</v>
      </c>
      <c r="BN3">
        <v>425.98481214681658</v>
      </c>
      <c r="BO3">
        <v>432.40531324662862</v>
      </c>
      <c r="BP3">
        <v>438.82581434644061</v>
      </c>
      <c r="BQ3">
        <v>445.24631544625259</v>
      </c>
      <c r="BR3">
        <v>451.66681654606458</v>
      </c>
      <c r="BS3">
        <v>458.08731764587662</v>
      </c>
      <c r="BT3">
        <v>464.50781874568861</v>
      </c>
    </row>
    <row r="4" spans="1:73" x14ac:dyDescent="0.25">
      <c r="A4" s="1">
        <f t="shared" ref="A4:A51" si="2">A3+1.8</f>
        <v>35.4</v>
      </c>
      <c r="B4">
        <v>12.22800175919922</v>
      </c>
      <c r="C4">
        <v>18.64358745423954</v>
      </c>
      <c r="D4">
        <v>25.059173149279861</v>
      </c>
      <c r="E4">
        <v>31.474758844320181</v>
      </c>
      <c r="F4">
        <v>37.890344539360512</v>
      </c>
      <c r="G4">
        <v>44.305930234400833</v>
      </c>
      <c r="H4">
        <v>50.721515929441154</v>
      </c>
      <c r="I4">
        <v>57.137101624481481</v>
      </c>
      <c r="J4">
        <v>63.552687319521787</v>
      </c>
      <c r="K4">
        <v>69.968273014562129</v>
      </c>
      <c r="L4">
        <v>76.383858709602436</v>
      </c>
      <c r="M4">
        <v>82.79944440464277</v>
      </c>
      <c r="N4">
        <v>89.215030099683091</v>
      </c>
      <c r="O4">
        <v>95.630615794723411</v>
      </c>
      <c r="P4">
        <v>102.0462014897637</v>
      </c>
      <c r="Q4">
        <v>108.46178718480409</v>
      </c>
      <c r="R4">
        <v>114.8773728798444</v>
      </c>
      <c r="S4">
        <v>121.29295857488469</v>
      </c>
      <c r="T4">
        <v>127.708544269925</v>
      </c>
      <c r="U4">
        <v>134.12412996496539</v>
      </c>
      <c r="V4">
        <v>140.5397156600057</v>
      </c>
      <c r="W4">
        <v>146.955301355046</v>
      </c>
      <c r="X4">
        <v>153.37088705008631</v>
      </c>
      <c r="Y4">
        <v>159.78647274512659</v>
      </c>
      <c r="Z4">
        <v>166.20205844016701</v>
      </c>
      <c r="AA4">
        <v>172.61764413520731</v>
      </c>
      <c r="AB4">
        <v>179.03322983024759</v>
      </c>
      <c r="AC4">
        <v>185.4488155252879</v>
      </c>
      <c r="AD4">
        <v>191.86440122032829</v>
      </c>
      <c r="AE4">
        <v>198.2799869153686</v>
      </c>
      <c r="AF4">
        <v>204.6955726104089</v>
      </c>
      <c r="AG4">
        <v>211.11115830544921</v>
      </c>
      <c r="AH4">
        <v>217.52674400048949</v>
      </c>
      <c r="AI4">
        <v>223.94232969552979</v>
      </c>
      <c r="AJ4">
        <v>230.35791539057021</v>
      </c>
      <c r="AK4">
        <v>236.77350108561049</v>
      </c>
      <c r="AL4">
        <v>243.1890867806508</v>
      </c>
      <c r="AM4">
        <v>249.60467247569119</v>
      </c>
      <c r="AN4">
        <v>256.02025817073149</v>
      </c>
      <c r="AO4">
        <v>262.43584386577191</v>
      </c>
      <c r="AP4">
        <v>268.85142956081211</v>
      </c>
      <c r="AQ4">
        <v>275.26701525585241</v>
      </c>
      <c r="AR4">
        <v>281.68260095089278</v>
      </c>
      <c r="AS4">
        <v>288.09818664593308</v>
      </c>
      <c r="AT4">
        <v>294.51377234097339</v>
      </c>
      <c r="AU4">
        <v>300.92935803601381</v>
      </c>
      <c r="AV4">
        <v>307.34494373105412</v>
      </c>
      <c r="AW4">
        <v>313.76052942609442</v>
      </c>
      <c r="AX4">
        <v>320.17611512113473</v>
      </c>
      <c r="AY4">
        <v>326.59170081617498</v>
      </c>
      <c r="AZ4">
        <v>333.0072865112154</v>
      </c>
      <c r="BA4">
        <v>339.4228722062557</v>
      </c>
      <c r="BB4">
        <v>345.83845790129601</v>
      </c>
      <c r="BC4">
        <v>352.25404359633632</v>
      </c>
      <c r="BD4">
        <v>358.66962929137662</v>
      </c>
      <c r="BE4">
        <v>365.08521498641699</v>
      </c>
      <c r="BF4">
        <v>371.50080068145729</v>
      </c>
      <c r="BG4">
        <v>377.9163863764976</v>
      </c>
      <c r="BH4">
        <v>384.33197207153802</v>
      </c>
      <c r="BI4">
        <v>390.74755776657832</v>
      </c>
      <c r="BJ4">
        <v>397.16314346161857</v>
      </c>
      <c r="BK4">
        <v>403.57872915665888</v>
      </c>
      <c r="BL4">
        <v>409.99431485169919</v>
      </c>
      <c r="BM4">
        <v>416.40990054673961</v>
      </c>
      <c r="BN4">
        <v>422.82548624177991</v>
      </c>
      <c r="BO4">
        <v>429.24107193682022</v>
      </c>
      <c r="BP4">
        <v>435.65665763186053</v>
      </c>
      <c r="BQ4">
        <v>442.07224332690078</v>
      </c>
      <c r="BR4">
        <v>448.48782902194108</v>
      </c>
      <c r="BS4">
        <v>454.90341471698139</v>
      </c>
      <c r="BT4">
        <v>461.31900041202192</v>
      </c>
    </row>
    <row r="5" spans="1:73" x14ac:dyDescent="0.25">
      <c r="A5" s="1">
        <f t="shared" si="2"/>
        <v>37.199999999999996</v>
      </c>
      <c r="B5">
        <v>9.3874726783811404</v>
      </c>
      <c r="C5">
        <v>15.79814473699375</v>
      </c>
      <c r="D5">
        <v>22.20881679560636</v>
      </c>
      <c r="E5">
        <v>28.619488854218979</v>
      </c>
      <c r="F5">
        <v>35.03016091283159</v>
      </c>
      <c r="G5">
        <v>41.440832971444202</v>
      </c>
      <c r="H5">
        <v>47.851505030056813</v>
      </c>
      <c r="I5">
        <v>54.262177088669432</v>
      </c>
      <c r="J5">
        <v>60.672849147282037</v>
      </c>
      <c r="K5">
        <v>67.083521205894641</v>
      </c>
      <c r="L5">
        <v>73.49419326450726</v>
      </c>
      <c r="M5">
        <v>79.904865323119878</v>
      </c>
      <c r="N5">
        <v>86.315537381732497</v>
      </c>
      <c r="O5">
        <v>92.726209440345102</v>
      </c>
      <c r="P5">
        <v>99.13688149895772</v>
      </c>
      <c r="Q5">
        <v>105.5475535575703</v>
      </c>
      <c r="R5">
        <v>111.9582256161829</v>
      </c>
      <c r="S5">
        <v>118.3688976747956</v>
      </c>
      <c r="T5">
        <v>124.7795697334082</v>
      </c>
      <c r="U5">
        <v>131.1902417920208</v>
      </c>
      <c r="V5">
        <v>137.60091385063339</v>
      </c>
      <c r="W5">
        <v>144.01158590924601</v>
      </c>
      <c r="X5">
        <v>150.4222579678586</v>
      </c>
      <c r="Y5">
        <v>156.83293002647119</v>
      </c>
      <c r="Z5">
        <v>163.24360208508381</v>
      </c>
      <c r="AA5">
        <v>169.65427414369651</v>
      </c>
      <c r="AB5">
        <v>176.06494620230899</v>
      </c>
      <c r="AC5">
        <v>182.47561826092169</v>
      </c>
      <c r="AD5">
        <v>188.88629031953431</v>
      </c>
      <c r="AE5">
        <v>195.2969623781469</v>
      </c>
      <c r="AF5">
        <v>201.70763443675949</v>
      </c>
      <c r="AG5">
        <v>208.11830649537211</v>
      </c>
      <c r="AH5">
        <v>214.52897855398481</v>
      </c>
      <c r="AI5">
        <v>220.9396506125974</v>
      </c>
      <c r="AJ5">
        <v>227.35032267120999</v>
      </c>
      <c r="AK5">
        <v>233.76099472982261</v>
      </c>
      <c r="AL5">
        <v>240.1716667884352</v>
      </c>
      <c r="AM5">
        <v>246.58233884704779</v>
      </c>
      <c r="AN5">
        <v>252.99301090566041</v>
      </c>
      <c r="AO5">
        <v>259.403682964273</v>
      </c>
      <c r="AP5">
        <v>265.81435502288559</v>
      </c>
      <c r="AQ5">
        <v>272.2250270814983</v>
      </c>
      <c r="AR5">
        <v>278.63569914011089</v>
      </c>
      <c r="AS5">
        <v>285.04637119872348</v>
      </c>
      <c r="AT5">
        <v>291.45704325733612</v>
      </c>
      <c r="AU5">
        <v>297.86771531594871</v>
      </c>
      <c r="AV5">
        <v>304.27838737456131</v>
      </c>
      <c r="AW5">
        <v>310.68905943317401</v>
      </c>
      <c r="AX5">
        <v>317.09973149178649</v>
      </c>
      <c r="AY5">
        <v>323.51040355039919</v>
      </c>
      <c r="AZ5">
        <v>329.92107560901178</v>
      </c>
      <c r="BA5">
        <v>336.33174766762443</v>
      </c>
      <c r="BB5">
        <v>342.74241972623702</v>
      </c>
      <c r="BC5">
        <v>349.15309178484961</v>
      </c>
      <c r="BD5">
        <v>355.5637638434622</v>
      </c>
      <c r="BE5">
        <v>361.97443590207479</v>
      </c>
      <c r="BF5">
        <v>368.38510796068738</v>
      </c>
      <c r="BG5">
        <v>374.79578001930008</v>
      </c>
      <c r="BH5">
        <v>381.20645207791267</v>
      </c>
      <c r="BI5">
        <v>387.61712413652532</v>
      </c>
      <c r="BJ5">
        <v>394.02779619513791</v>
      </c>
      <c r="BK5">
        <v>400.4384682537505</v>
      </c>
      <c r="BL5">
        <v>406.84914031236309</v>
      </c>
      <c r="BM5">
        <v>413.25981237097568</v>
      </c>
      <c r="BN5">
        <v>419.67048442958838</v>
      </c>
      <c r="BO5">
        <v>426.08115648820097</v>
      </c>
      <c r="BP5">
        <v>432.49182854681362</v>
      </c>
      <c r="BQ5">
        <v>438.90250060542621</v>
      </c>
      <c r="BR5">
        <v>445.3131726640388</v>
      </c>
      <c r="BS5">
        <v>451.72384472265139</v>
      </c>
      <c r="BT5">
        <v>458.13451678126398</v>
      </c>
    </row>
    <row r="6" spans="1:73" x14ac:dyDescent="0.25">
      <c r="A6" s="1">
        <f t="shared" si="2"/>
        <v>38.999999999999993</v>
      </c>
      <c r="B6">
        <v>6.5511455739498823</v>
      </c>
      <c r="C6">
        <v>12.95690570979786</v>
      </c>
      <c r="D6">
        <v>19.362665845645839</v>
      </c>
      <c r="E6">
        <v>25.76842598149382</v>
      </c>
      <c r="F6">
        <v>32.174186117341797</v>
      </c>
      <c r="G6">
        <v>38.579946253189767</v>
      </c>
      <c r="H6">
        <v>44.985706389037752</v>
      </c>
      <c r="I6">
        <v>51.391466524885729</v>
      </c>
      <c r="J6">
        <v>57.797226660733713</v>
      </c>
      <c r="K6">
        <v>64.202986796581683</v>
      </c>
      <c r="L6">
        <v>70.608746932429668</v>
      </c>
      <c r="M6">
        <v>77.014507068277638</v>
      </c>
      <c r="N6">
        <v>83.420267204125622</v>
      </c>
      <c r="O6">
        <v>89.826027339973592</v>
      </c>
      <c r="P6">
        <v>96.231787475821591</v>
      </c>
      <c r="Q6">
        <v>102.6375476116696</v>
      </c>
      <c r="R6">
        <v>109.0433077475175</v>
      </c>
      <c r="S6">
        <v>115.4490678833655</v>
      </c>
      <c r="T6">
        <v>121.8548280192135</v>
      </c>
      <c r="U6">
        <v>128.2605881550615</v>
      </c>
      <c r="V6">
        <v>134.66634829090941</v>
      </c>
      <c r="W6">
        <v>141.07210842675741</v>
      </c>
      <c r="X6">
        <v>147.47786856260541</v>
      </c>
      <c r="Y6">
        <v>153.88362869845341</v>
      </c>
      <c r="Z6">
        <v>160.28938883430129</v>
      </c>
      <c r="AA6">
        <v>166.69514897014929</v>
      </c>
      <c r="AB6">
        <v>173.10090910599729</v>
      </c>
      <c r="AC6">
        <v>179.50666924184529</v>
      </c>
      <c r="AD6">
        <v>185.91242937769329</v>
      </c>
      <c r="AE6">
        <v>192.31818951354131</v>
      </c>
      <c r="AF6">
        <v>198.72394964938931</v>
      </c>
      <c r="AG6">
        <v>205.1297097852372</v>
      </c>
      <c r="AH6">
        <v>211.53546992108519</v>
      </c>
      <c r="AI6">
        <v>217.94123005693319</v>
      </c>
      <c r="AJ6">
        <v>224.34699019278111</v>
      </c>
      <c r="AK6">
        <v>230.75275032862911</v>
      </c>
      <c r="AL6">
        <v>237.1585104644771</v>
      </c>
      <c r="AM6">
        <v>243.5642706003251</v>
      </c>
      <c r="AN6">
        <v>249.97003073617299</v>
      </c>
      <c r="AO6">
        <v>256.37579087202101</v>
      </c>
      <c r="AP6">
        <v>262.78155100786898</v>
      </c>
      <c r="AQ6">
        <v>269.18731114371701</v>
      </c>
      <c r="AR6">
        <v>275.59307127956498</v>
      </c>
      <c r="AS6">
        <v>281.99883141541301</v>
      </c>
      <c r="AT6">
        <v>288.40459155126092</v>
      </c>
      <c r="AU6">
        <v>294.81035168710889</v>
      </c>
      <c r="AV6">
        <v>301.21611182295692</v>
      </c>
      <c r="AW6">
        <v>307.62187195880477</v>
      </c>
      <c r="AX6">
        <v>314.02763209465292</v>
      </c>
      <c r="AY6">
        <v>320.43339223050077</v>
      </c>
      <c r="AZ6">
        <v>326.8391523663488</v>
      </c>
      <c r="BA6">
        <v>333.24491250219683</v>
      </c>
      <c r="BB6">
        <v>339.65067263804468</v>
      </c>
      <c r="BC6">
        <v>346.05643277389271</v>
      </c>
      <c r="BD6">
        <v>352.46219290974068</v>
      </c>
      <c r="BE6">
        <v>358.86795304558859</v>
      </c>
      <c r="BF6">
        <v>365.27371318143668</v>
      </c>
      <c r="BG6">
        <v>371.67947331728459</v>
      </c>
      <c r="BH6">
        <v>378.08523345313262</v>
      </c>
      <c r="BI6">
        <v>384.49099358898059</v>
      </c>
      <c r="BJ6">
        <v>390.89675372482861</v>
      </c>
      <c r="BK6">
        <v>397.30251386067658</v>
      </c>
      <c r="BL6">
        <v>403.7082739965245</v>
      </c>
      <c r="BM6">
        <v>410.11403413237252</v>
      </c>
      <c r="BN6">
        <v>416.51979426822049</v>
      </c>
      <c r="BO6">
        <v>422.92555440406852</v>
      </c>
      <c r="BP6">
        <v>429.33131453991638</v>
      </c>
      <c r="BQ6">
        <v>435.7370746757644</v>
      </c>
      <c r="BR6">
        <v>442.14283481161237</v>
      </c>
      <c r="BS6">
        <v>448.54859494746029</v>
      </c>
      <c r="BT6">
        <v>454.95435508330843</v>
      </c>
    </row>
    <row r="7" spans="1:73" x14ac:dyDescent="0.25">
      <c r="A7" s="1">
        <f t="shared" si="2"/>
        <v>40.79999999999999</v>
      </c>
      <c r="B7">
        <v>3.719011614572477</v>
      </c>
      <c r="C7">
        <v>10.11986148938632</v>
      </c>
      <c r="D7">
        <v>16.520711364200171</v>
      </c>
      <c r="E7">
        <v>22.921561239014011</v>
      </c>
      <c r="F7">
        <v>29.322411113827862</v>
      </c>
      <c r="G7">
        <v>35.723260988641698</v>
      </c>
      <c r="H7">
        <v>42.124110863455542</v>
      </c>
      <c r="I7">
        <v>48.524960738269392</v>
      </c>
      <c r="J7">
        <v>54.925810613083243</v>
      </c>
      <c r="K7">
        <v>61.326660487897087</v>
      </c>
      <c r="L7">
        <v>67.72751036271093</v>
      </c>
      <c r="M7">
        <v>74.12836023752476</v>
      </c>
      <c r="N7">
        <v>80.529210112338617</v>
      </c>
      <c r="O7">
        <v>86.930059987152461</v>
      </c>
      <c r="P7">
        <v>93.330909861966305</v>
      </c>
      <c r="Q7">
        <v>99.731759736780148</v>
      </c>
      <c r="R7">
        <v>106.13260961159401</v>
      </c>
      <c r="S7">
        <v>112.53345948640781</v>
      </c>
      <c r="T7">
        <v>118.93430936122169</v>
      </c>
      <c r="U7">
        <v>125.33515923603549</v>
      </c>
      <c r="V7">
        <v>131.73600911084941</v>
      </c>
      <c r="W7">
        <v>138.1368589856632</v>
      </c>
      <c r="X7">
        <v>144.5377088604771</v>
      </c>
      <c r="Y7">
        <v>150.93855873529091</v>
      </c>
      <c r="Z7">
        <v>157.33940861010481</v>
      </c>
      <c r="AA7">
        <v>163.7402584849186</v>
      </c>
      <c r="AB7">
        <v>170.14110835973241</v>
      </c>
      <c r="AC7">
        <v>176.54195823454631</v>
      </c>
      <c r="AD7">
        <v>182.94280810936019</v>
      </c>
      <c r="AE7">
        <v>189.343657984174</v>
      </c>
      <c r="AF7">
        <v>195.74450785898779</v>
      </c>
      <c r="AG7">
        <v>202.14535773380169</v>
      </c>
      <c r="AH7">
        <v>208.5462076086155</v>
      </c>
      <c r="AI7">
        <v>214.9470574834294</v>
      </c>
      <c r="AJ7">
        <v>221.34790735824319</v>
      </c>
      <c r="AK7">
        <v>227.74875723305709</v>
      </c>
      <c r="AL7">
        <v>234.14960710787091</v>
      </c>
      <c r="AM7">
        <v>240.55045698268481</v>
      </c>
      <c r="AN7">
        <v>246.95130685749859</v>
      </c>
      <c r="AO7">
        <v>253.35215673231249</v>
      </c>
      <c r="AP7">
        <v>259.75300660712628</v>
      </c>
      <c r="AQ7">
        <v>266.15385648194012</v>
      </c>
      <c r="AR7">
        <v>272.55470635675402</v>
      </c>
      <c r="AS7">
        <v>278.95555623156781</v>
      </c>
      <c r="AT7">
        <v>285.35640610638171</v>
      </c>
      <c r="AU7">
        <v>291.75725598119561</v>
      </c>
      <c r="AV7">
        <v>298.1581058560094</v>
      </c>
      <c r="AW7">
        <v>304.55895573082319</v>
      </c>
      <c r="AX7">
        <v>310.95980560563709</v>
      </c>
      <c r="AY7">
        <v>317.36065548045087</v>
      </c>
      <c r="AZ7">
        <v>323.76150535526472</v>
      </c>
      <c r="BA7">
        <v>330.16235523007862</v>
      </c>
      <c r="BB7">
        <v>336.5632051048924</v>
      </c>
      <c r="BC7">
        <v>342.9640549797063</v>
      </c>
      <c r="BD7">
        <v>349.36490485452009</v>
      </c>
      <c r="BE7">
        <v>355.76575472933399</v>
      </c>
      <c r="BF7">
        <v>362.16660460414778</v>
      </c>
      <c r="BG7">
        <v>368.56745447896168</v>
      </c>
      <c r="BH7">
        <v>374.96830435377552</v>
      </c>
      <c r="BI7">
        <v>381.36915422858942</v>
      </c>
      <c r="BJ7">
        <v>387.77000410340321</v>
      </c>
      <c r="BK7">
        <v>394.170853978217</v>
      </c>
      <c r="BL7">
        <v>400.5717038530309</v>
      </c>
      <c r="BM7">
        <v>406.97255372784468</v>
      </c>
      <c r="BN7">
        <v>413.37340360265858</v>
      </c>
      <c r="BO7">
        <v>419.77425347747243</v>
      </c>
      <c r="BP7">
        <v>426.17510335228633</v>
      </c>
      <c r="BQ7">
        <v>432.57595322710011</v>
      </c>
      <c r="BR7">
        <v>438.97680310191402</v>
      </c>
      <c r="BS7">
        <v>445.37765297672792</v>
      </c>
      <c r="BT7">
        <v>451.77850285154159</v>
      </c>
    </row>
    <row r="8" spans="1:73" x14ac:dyDescent="0.25">
      <c r="A8" s="1">
        <f t="shared" si="2"/>
        <v>42.599999999999987</v>
      </c>
      <c r="B8">
        <v>0.89106207318375874</v>
      </c>
      <c r="C8">
        <v>7.2870032990721931</v>
      </c>
      <c r="D8">
        <v>13.682944524960631</v>
      </c>
      <c r="E8">
        <v>20.078885750849061</v>
      </c>
      <c r="F8">
        <v>26.4748269767375</v>
      </c>
      <c r="G8">
        <v>32.870768202625932</v>
      </c>
      <c r="H8">
        <v>39.266709428514368</v>
      </c>
      <c r="I8">
        <v>45.662650654402803</v>
      </c>
      <c r="J8">
        <v>52.058591880291232</v>
      </c>
      <c r="K8">
        <v>58.454533106179667</v>
      </c>
      <c r="L8">
        <v>64.850474332068103</v>
      </c>
      <c r="M8">
        <v>71.246415557956539</v>
      </c>
      <c r="N8">
        <v>77.642356783844974</v>
      </c>
      <c r="O8">
        <v>84.03829800973341</v>
      </c>
      <c r="P8">
        <v>90.434239235621831</v>
      </c>
      <c r="Q8">
        <v>96.830180461510281</v>
      </c>
      <c r="R8">
        <v>103.2261216873987</v>
      </c>
      <c r="S8">
        <v>109.6220629132871</v>
      </c>
      <c r="T8">
        <v>116.0180041391756</v>
      </c>
      <c r="U8">
        <v>122.413945365064</v>
      </c>
      <c r="V8">
        <v>128.8098865909524</v>
      </c>
      <c r="W8">
        <v>135.20582781684089</v>
      </c>
      <c r="X8">
        <v>141.6017690427293</v>
      </c>
      <c r="Y8">
        <v>147.99771026861771</v>
      </c>
      <c r="Z8">
        <v>154.3936514945062</v>
      </c>
      <c r="AA8">
        <v>160.78959272039461</v>
      </c>
      <c r="AB8">
        <v>167.1855339462831</v>
      </c>
      <c r="AC8">
        <v>173.58147517217151</v>
      </c>
      <c r="AD8">
        <v>179.97741639805989</v>
      </c>
      <c r="AE8">
        <v>186.37335762394841</v>
      </c>
      <c r="AF8">
        <v>192.76929884983679</v>
      </c>
      <c r="AG8">
        <v>199.16524007572519</v>
      </c>
      <c r="AH8">
        <v>205.56118130161369</v>
      </c>
      <c r="AI8">
        <v>211.95712252750209</v>
      </c>
      <c r="AJ8">
        <v>218.35306375339059</v>
      </c>
      <c r="AK8">
        <v>224.74900497927899</v>
      </c>
      <c r="AL8">
        <v>231.1449462051674</v>
      </c>
      <c r="AM8">
        <v>237.54088743105589</v>
      </c>
      <c r="AN8">
        <v>243.9368286569443</v>
      </c>
      <c r="AO8">
        <v>250.33276988283271</v>
      </c>
      <c r="AP8">
        <v>256.72871110872109</v>
      </c>
      <c r="AQ8">
        <v>263.12465233460961</v>
      </c>
      <c r="AR8">
        <v>269.52059356049813</v>
      </c>
      <c r="AS8">
        <v>275.91653478638648</v>
      </c>
      <c r="AT8">
        <v>282.31247601227489</v>
      </c>
      <c r="AU8">
        <v>288.70841723816329</v>
      </c>
      <c r="AV8">
        <v>295.10435846405181</v>
      </c>
      <c r="AW8">
        <v>301.50029968994022</v>
      </c>
      <c r="AX8">
        <v>307.89624091582863</v>
      </c>
      <c r="AY8">
        <v>314.29218214171709</v>
      </c>
      <c r="AZ8">
        <v>320.68812336760561</v>
      </c>
      <c r="BA8">
        <v>327.08406459349391</v>
      </c>
      <c r="BB8">
        <v>333.48000581938243</v>
      </c>
      <c r="BC8">
        <v>339.87594704527078</v>
      </c>
      <c r="BD8">
        <v>346.27188827115918</v>
      </c>
      <c r="BE8">
        <v>352.66782949704771</v>
      </c>
      <c r="BF8">
        <v>359.06377072293611</v>
      </c>
      <c r="BG8">
        <v>365.45971194882452</v>
      </c>
      <c r="BH8">
        <v>371.85565317471298</v>
      </c>
      <c r="BI8">
        <v>378.25159440060139</v>
      </c>
      <c r="BJ8">
        <v>384.64753562648991</v>
      </c>
      <c r="BK8">
        <v>391.04347685237832</v>
      </c>
      <c r="BL8">
        <v>397.43941807826673</v>
      </c>
      <c r="BM8">
        <v>403.83535930415519</v>
      </c>
      <c r="BN8">
        <v>410.2313005300436</v>
      </c>
      <c r="BO8">
        <v>416.627241755932</v>
      </c>
      <c r="BP8">
        <v>423.02318298182053</v>
      </c>
      <c r="BQ8">
        <v>429.41912420770888</v>
      </c>
      <c r="BR8">
        <v>435.81506543359728</v>
      </c>
      <c r="BS8">
        <v>442.2110066594858</v>
      </c>
      <c r="BT8">
        <v>448.60694788537421</v>
      </c>
    </row>
    <row r="9" spans="1:73" x14ac:dyDescent="0.25">
      <c r="A9" s="1">
        <f t="shared" si="2"/>
        <v>44.399999999999984</v>
      </c>
      <c r="B9">
        <v>-1.9327116786396901</v>
      </c>
      <c r="C9">
        <v>4.458322462663566</v>
      </c>
      <c r="D9">
        <v>10.84935660396682</v>
      </c>
      <c r="E9">
        <v>17.24039074527008</v>
      </c>
      <c r="F9">
        <v>23.631424886573331</v>
      </c>
      <c r="G9">
        <v>30.022459027876589</v>
      </c>
      <c r="H9">
        <v>36.413493169179837</v>
      </c>
      <c r="I9">
        <v>42.804527310483103</v>
      </c>
      <c r="J9">
        <v>49.195561451786347</v>
      </c>
      <c r="K9">
        <v>55.586595593089612</v>
      </c>
      <c r="L9">
        <v>61.977629734392863</v>
      </c>
      <c r="M9">
        <v>68.368663875696114</v>
      </c>
      <c r="N9">
        <v>74.75969801699938</v>
      </c>
      <c r="O9">
        <v>81.150732158302631</v>
      </c>
      <c r="P9">
        <v>87.541766299605882</v>
      </c>
      <c r="Q9">
        <v>93.932800440909148</v>
      </c>
      <c r="R9">
        <v>100.3238345822124</v>
      </c>
      <c r="S9">
        <v>106.71486872351571</v>
      </c>
      <c r="T9">
        <v>113.1059028648189</v>
      </c>
      <c r="U9">
        <v>119.4969370061222</v>
      </c>
      <c r="V9">
        <v>125.8879711474254</v>
      </c>
      <c r="W9">
        <v>132.27900528872871</v>
      </c>
      <c r="X9">
        <v>138.67003943003189</v>
      </c>
      <c r="Y9">
        <v>145.06107357133521</v>
      </c>
      <c r="Z9">
        <v>151.45210771263851</v>
      </c>
      <c r="AA9">
        <v>157.84314185394169</v>
      </c>
      <c r="AB9">
        <v>164.23417599524501</v>
      </c>
      <c r="AC9">
        <v>170.62521013654819</v>
      </c>
      <c r="AD9">
        <v>177.01624427785151</v>
      </c>
      <c r="AE9">
        <v>183.40727841915469</v>
      </c>
      <c r="AF9">
        <v>189.79831256045799</v>
      </c>
      <c r="AG9">
        <v>196.18934670176131</v>
      </c>
      <c r="AH9">
        <v>202.58038084306449</v>
      </c>
      <c r="AI9">
        <v>208.97141498436781</v>
      </c>
      <c r="AJ9">
        <v>215.36244912567099</v>
      </c>
      <c r="AK9">
        <v>221.75348326697431</v>
      </c>
      <c r="AL9">
        <v>228.14451740827761</v>
      </c>
      <c r="AM9">
        <v>234.53555154958079</v>
      </c>
      <c r="AN9">
        <v>240.926585690884</v>
      </c>
      <c r="AO9">
        <v>247.31761983218729</v>
      </c>
      <c r="AP9">
        <v>253.70865397349061</v>
      </c>
      <c r="AQ9">
        <v>260.09968811479382</v>
      </c>
      <c r="AR9">
        <v>266.49072225609711</v>
      </c>
      <c r="AS9">
        <v>272.8817563974003</v>
      </c>
      <c r="AT9">
        <v>279.27279053870359</v>
      </c>
      <c r="AU9">
        <v>285.66382468000683</v>
      </c>
      <c r="AV9">
        <v>292.05485882131012</v>
      </c>
      <c r="AW9">
        <v>298.44589296261341</v>
      </c>
      <c r="AX9">
        <v>304.83692710391659</v>
      </c>
      <c r="AY9">
        <v>311.22796124521977</v>
      </c>
      <c r="AZ9">
        <v>317.61899538652312</v>
      </c>
      <c r="BA9">
        <v>324.01002952782642</v>
      </c>
      <c r="BB9">
        <v>330.40106366912971</v>
      </c>
      <c r="BC9">
        <v>336.79209781043289</v>
      </c>
      <c r="BD9">
        <v>343.18313195173607</v>
      </c>
      <c r="BE9">
        <v>349.57416609303942</v>
      </c>
      <c r="BF9">
        <v>355.96520023434272</v>
      </c>
      <c r="BG9">
        <v>362.3562343756459</v>
      </c>
      <c r="BH9">
        <v>368.74726851694919</v>
      </c>
      <c r="BI9">
        <v>375.13830265825243</v>
      </c>
      <c r="BJ9">
        <v>381.52933679955572</v>
      </c>
      <c r="BK9">
        <v>387.9203709408589</v>
      </c>
      <c r="BL9">
        <v>394.3114050821622</v>
      </c>
      <c r="BM9">
        <v>400.70243922346538</v>
      </c>
      <c r="BN9">
        <v>407.09347336476873</v>
      </c>
      <c r="BO9">
        <v>413.48450750607191</v>
      </c>
      <c r="BP9">
        <v>419.87554164737509</v>
      </c>
      <c r="BQ9">
        <v>426.26657578867838</v>
      </c>
      <c r="BR9">
        <v>432.65760992998167</v>
      </c>
      <c r="BS9">
        <v>439.04864407128491</v>
      </c>
      <c r="BT9">
        <v>445.43967821258821</v>
      </c>
    </row>
    <row r="10" spans="1:73" x14ac:dyDescent="0.25">
      <c r="A10" s="1">
        <f t="shared" si="2"/>
        <v>46.199999999999982</v>
      </c>
      <c r="B10">
        <v>-4.7523181750303847</v>
      </c>
      <c r="C10">
        <v>1.6338103996387019</v>
      </c>
      <c r="D10">
        <v>8.0199389743077898</v>
      </c>
      <c r="E10">
        <v>14.40606754897688</v>
      </c>
      <c r="F10">
        <v>20.792196123645962</v>
      </c>
      <c r="G10">
        <v>27.178324698315048</v>
      </c>
      <c r="H10">
        <v>33.564453272984139</v>
      </c>
      <c r="I10">
        <v>39.950581847653233</v>
      </c>
      <c r="J10">
        <v>46.336710422322312</v>
      </c>
      <c r="K10">
        <v>52.722838996991392</v>
      </c>
      <c r="L10">
        <v>59.108967571660493</v>
      </c>
      <c r="M10">
        <v>65.495096146329573</v>
      </c>
      <c r="N10">
        <v>71.881224720998659</v>
      </c>
      <c r="O10">
        <v>78.267353295667746</v>
      </c>
      <c r="P10">
        <v>84.653481870336833</v>
      </c>
      <c r="Q10">
        <v>91.03961044500592</v>
      </c>
      <c r="R10">
        <v>97.425739019674992</v>
      </c>
      <c r="S10">
        <v>103.81186759434409</v>
      </c>
      <c r="T10">
        <v>110.19799616901319</v>
      </c>
      <c r="U10">
        <v>116.5841247436823</v>
      </c>
      <c r="V10">
        <v>122.9702533183513</v>
      </c>
      <c r="W10">
        <v>129.3563818930204</v>
      </c>
      <c r="X10">
        <v>135.7425104676895</v>
      </c>
      <c r="Y10">
        <v>142.1286390423586</v>
      </c>
      <c r="Z10">
        <v>148.5147676170277</v>
      </c>
      <c r="AA10">
        <v>154.9008961916968</v>
      </c>
      <c r="AB10">
        <v>161.2870247663659</v>
      </c>
      <c r="AC10">
        <v>167.67315334103489</v>
      </c>
      <c r="AD10">
        <v>174.05928191570399</v>
      </c>
      <c r="AE10">
        <v>180.44541049037309</v>
      </c>
      <c r="AF10">
        <v>186.83153906504219</v>
      </c>
      <c r="AG10">
        <v>193.21766763971129</v>
      </c>
      <c r="AH10">
        <v>199.6037962143804</v>
      </c>
      <c r="AI10">
        <v>205.9899247890495</v>
      </c>
      <c r="AJ10">
        <v>212.37605336371851</v>
      </c>
      <c r="AK10">
        <v>218.76218193838761</v>
      </c>
      <c r="AL10">
        <v>225.14831051305671</v>
      </c>
      <c r="AM10">
        <v>231.53443908772579</v>
      </c>
      <c r="AN10">
        <v>237.92056766239489</v>
      </c>
      <c r="AO10">
        <v>244.30669623706399</v>
      </c>
      <c r="AP10">
        <v>250.69282481173309</v>
      </c>
      <c r="AQ10">
        <v>257.07895338640219</v>
      </c>
      <c r="AR10">
        <v>263.46508196107118</v>
      </c>
      <c r="AS10">
        <v>269.85121053574028</v>
      </c>
      <c r="AT10">
        <v>276.23733911040938</v>
      </c>
      <c r="AU10">
        <v>282.62346768507848</v>
      </c>
      <c r="AV10">
        <v>289.00959625974758</v>
      </c>
      <c r="AW10">
        <v>295.39572483441668</v>
      </c>
      <c r="AX10">
        <v>301.78185340908573</v>
      </c>
      <c r="AY10">
        <v>308.16798198375483</v>
      </c>
      <c r="AZ10">
        <v>314.55411055842399</v>
      </c>
      <c r="BA10">
        <v>320.94023913309297</v>
      </c>
      <c r="BB10">
        <v>327.32636770776207</v>
      </c>
      <c r="BC10">
        <v>333.71249628243118</v>
      </c>
      <c r="BD10">
        <v>340.09862485710028</v>
      </c>
      <c r="BE10">
        <v>346.48475343176938</v>
      </c>
      <c r="BF10">
        <v>352.87088200643842</v>
      </c>
      <c r="BG10">
        <v>359.25701058110752</v>
      </c>
      <c r="BH10">
        <v>365.64313915577668</v>
      </c>
      <c r="BI10">
        <v>372.02926773044572</v>
      </c>
      <c r="BJ10">
        <v>378.41539630511483</v>
      </c>
      <c r="BK10">
        <v>384.80152487978393</v>
      </c>
      <c r="BL10">
        <v>391.18765345445303</v>
      </c>
      <c r="BM10">
        <v>397.57378202912213</v>
      </c>
      <c r="BN10">
        <v>403.95991060379112</v>
      </c>
      <c r="BO10">
        <v>410.34603917846027</v>
      </c>
      <c r="BP10">
        <v>416.73216775312937</v>
      </c>
      <c r="BQ10">
        <v>423.11829632779842</v>
      </c>
      <c r="BR10">
        <v>429.50442490246758</v>
      </c>
      <c r="BS10">
        <v>435.89055347713662</v>
      </c>
      <c r="BT10">
        <v>442.27668205180572</v>
      </c>
    </row>
    <row r="11" spans="1:73" x14ac:dyDescent="0.25">
      <c r="A11" s="1">
        <f t="shared" si="2"/>
        <v>47.999999999999979</v>
      </c>
      <c r="B11">
        <v>-7.5677658588600538</v>
      </c>
      <c r="C11">
        <v>-1.1865413783711369</v>
      </c>
      <c r="D11">
        <v>5.1946831021177804</v>
      </c>
      <c r="E11">
        <v>11.5759075826067</v>
      </c>
      <c r="F11">
        <v>17.95713206309561</v>
      </c>
      <c r="G11">
        <v>24.338356543584531</v>
      </c>
      <c r="H11">
        <v>30.719581024073449</v>
      </c>
      <c r="I11">
        <v>37.100805504562373</v>
      </c>
      <c r="J11">
        <v>43.482029985051277</v>
      </c>
      <c r="K11">
        <v>49.863254465540201</v>
      </c>
      <c r="L11">
        <v>56.244478946029119</v>
      </c>
      <c r="M11">
        <v>62.625703426518037</v>
      </c>
      <c r="N11">
        <v>69.006927907006954</v>
      </c>
      <c r="O11">
        <v>75.388152387495865</v>
      </c>
      <c r="P11">
        <v>81.769376867984803</v>
      </c>
      <c r="Q11">
        <v>88.150601348473714</v>
      </c>
      <c r="R11">
        <v>94.531825828962624</v>
      </c>
      <c r="S11">
        <v>100.91305030945151</v>
      </c>
      <c r="T11">
        <v>107.2942747899405</v>
      </c>
      <c r="U11">
        <v>113.6754992704294</v>
      </c>
      <c r="V11">
        <v>120.05672375091829</v>
      </c>
      <c r="W11">
        <v>126.4379482314072</v>
      </c>
      <c r="X11">
        <v>132.8191727118961</v>
      </c>
      <c r="Y11">
        <v>139.20039719238511</v>
      </c>
      <c r="Z11">
        <v>145.58162167287401</v>
      </c>
      <c r="AA11">
        <v>151.9628461533629</v>
      </c>
      <c r="AB11">
        <v>158.3440706338518</v>
      </c>
      <c r="AC11">
        <v>164.7252951143407</v>
      </c>
      <c r="AD11">
        <v>171.10651959482959</v>
      </c>
      <c r="AE11">
        <v>177.48774407531849</v>
      </c>
      <c r="AF11">
        <v>183.8689685558075</v>
      </c>
      <c r="AG11">
        <v>190.25019303629639</v>
      </c>
      <c r="AH11">
        <v>196.63141751678529</v>
      </c>
      <c r="AI11">
        <v>203.01264199727419</v>
      </c>
      <c r="AJ11">
        <v>209.3938664777632</v>
      </c>
      <c r="AK11">
        <v>215.77509095825209</v>
      </c>
      <c r="AL11">
        <v>222.15631543874099</v>
      </c>
      <c r="AM11">
        <v>228.53753991922991</v>
      </c>
      <c r="AN11">
        <v>234.91876439971881</v>
      </c>
      <c r="AO11">
        <v>241.29998888020771</v>
      </c>
      <c r="AP11">
        <v>247.68121336069669</v>
      </c>
      <c r="AQ11">
        <v>254.06243784118561</v>
      </c>
      <c r="AR11">
        <v>260.44366232167448</v>
      </c>
      <c r="AS11">
        <v>266.82488680216352</v>
      </c>
      <c r="AT11">
        <v>273.20611128265227</v>
      </c>
      <c r="AU11">
        <v>279.58733576314131</v>
      </c>
      <c r="AV11">
        <v>285.96856024363018</v>
      </c>
      <c r="AW11">
        <v>292.3497847241191</v>
      </c>
      <c r="AX11">
        <v>298.73100920460797</v>
      </c>
      <c r="AY11">
        <v>305.11223368509701</v>
      </c>
      <c r="AZ11">
        <v>311.49345816558588</v>
      </c>
      <c r="BA11">
        <v>317.87468264607469</v>
      </c>
      <c r="BB11">
        <v>324.25590712656373</v>
      </c>
      <c r="BC11">
        <v>330.63713160705259</v>
      </c>
      <c r="BD11">
        <v>337.01835608754152</v>
      </c>
      <c r="BE11">
        <v>343.39958056803039</v>
      </c>
      <c r="BF11">
        <v>349.78080504851943</v>
      </c>
      <c r="BG11">
        <v>356.16202952900829</v>
      </c>
      <c r="BH11">
        <v>362.54325400949722</v>
      </c>
      <c r="BI11">
        <v>368.92447848998609</v>
      </c>
      <c r="BJ11">
        <v>375.30570297047501</v>
      </c>
      <c r="BK11">
        <v>381.68692745096388</v>
      </c>
      <c r="BL11">
        <v>388.0681519314528</v>
      </c>
      <c r="BM11">
        <v>394.44937641194178</v>
      </c>
      <c r="BN11">
        <v>400.83060089243071</v>
      </c>
      <c r="BO11">
        <v>407.21182537291958</v>
      </c>
      <c r="BP11">
        <v>413.59304985340862</v>
      </c>
      <c r="BQ11">
        <v>419.97427433389743</v>
      </c>
      <c r="BR11">
        <v>426.35549881438641</v>
      </c>
      <c r="BS11">
        <v>432.73672329487528</v>
      </c>
      <c r="BT11">
        <v>439.11794777536431</v>
      </c>
    </row>
    <row r="12" spans="1:73" x14ac:dyDescent="0.25">
      <c r="A12" s="1">
        <f t="shared" si="2"/>
        <v>49.799999999999976</v>
      </c>
      <c r="B12">
        <v>-10.379063083416449</v>
      </c>
      <c r="C12">
        <v>-4.0027412697551066</v>
      </c>
      <c r="D12">
        <v>2.3735805439062361</v>
      </c>
      <c r="E12">
        <v>8.7499023575675778</v>
      </c>
      <c r="F12">
        <v>15.12622417122892</v>
      </c>
      <c r="G12">
        <v>21.502545984890261</v>
      </c>
      <c r="H12">
        <v>27.8788677985516</v>
      </c>
      <c r="I12">
        <v>34.255189612212952</v>
      </c>
      <c r="J12">
        <v>40.631511425874287</v>
      </c>
      <c r="K12">
        <v>47.007833239535643</v>
      </c>
      <c r="L12">
        <v>53.384155053196977</v>
      </c>
      <c r="M12">
        <v>59.760476866858333</v>
      </c>
      <c r="N12">
        <v>66.136798680519661</v>
      </c>
      <c r="O12">
        <v>72.51312049418101</v>
      </c>
      <c r="P12">
        <v>78.889442307842344</v>
      </c>
      <c r="Q12">
        <v>85.265764121503693</v>
      </c>
      <c r="R12">
        <v>91.642085935165028</v>
      </c>
      <c r="S12">
        <v>98.018407748826377</v>
      </c>
      <c r="T12">
        <v>104.3947295624877</v>
      </c>
      <c r="U12">
        <v>110.7710513761491</v>
      </c>
      <c r="V12">
        <v>117.14737318981039</v>
      </c>
      <c r="W12">
        <v>123.5236950034717</v>
      </c>
      <c r="X12">
        <v>129.90001681713309</v>
      </c>
      <c r="Y12">
        <v>136.27633863079441</v>
      </c>
      <c r="Z12">
        <v>142.65266044445579</v>
      </c>
      <c r="AA12">
        <v>149.02898225811711</v>
      </c>
      <c r="AB12">
        <v>155.40530407177849</v>
      </c>
      <c r="AC12">
        <v>161.78162588543981</v>
      </c>
      <c r="AD12">
        <v>168.15794769910119</v>
      </c>
      <c r="AE12">
        <v>174.53426951276251</v>
      </c>
      <c r="AF12">
        <v>180.91059132642391</v>
      </c>
      <c r="AG12">
        <v>187.2869131400852</v>
      </c>
      <c r="AH12">
        <v>193.6632349537465</v>
      </c>
      <c r="AI12">
        <v>200.0395567674079</v>
      </c>
      <c r="AJ12">
        <v>206.41587858106919</v>
      </c>
      <c r="AK12">
        <v>212.7922003947306</v>
      </c>
      <c r="AL12">
        <v>219.16852220839189</v>
      </c>
      <c r="AM12">
        <v>225.5448440220533</v>
      </c>
      <c r="AN12">
        <v>231.92116583571459</v>
      </c>
      <c r="AO12">
        <v>238.29748764937591</v>
      </c>
      <c r="AP12">
        <v>244.67380946303729</v>
      </c>
      <c r="AQ12">
        <v>251.05013127669861</v>
      </c>
      <c r="AR12">
        <v>257.42645309035998</v>
      </c>
      <c r="AS12">
        <v>263.80277490402131</v>
      </c>
      <c r="AT12">
        <v>270.17909671768263</v>
      </c>
      <c r="AU12">
        <v>276.555418531344</v>
      </c>
      <c r="AV12">
        <v>282.93174034500532</v>
      </c>
      <c r="AW12">
        <v>289.3080621586667</v>
      </c>
      <c r="AX12">
        <v>295.68438397232802</v>
      </c>
      <c r="AY12">
        <v>302.0607057859894</v>
      </c>
      <c r="AZ12">
        <v>308.43702759965072</v>
      </c>
      <c r="BA12">
        <v>314.81334941331198</v>
      </c>
      <c r="BB12">
        <v>321.18967122697342</v>
      </c>
      <c r="BC12">
        <v>327.56599304063468</v>
      </c>
      <c r="BD12">
        <v>333.94231485429611</v>
      </c>
      <c r="BE12">
        <v>340.31863666795738</v>
      </c>
      <c r="BF12">
        <v>346.69495848161881</v>
      </c>
      <c r="BG12">
        <v>353.07128029528008</v>
      </c>
      <c r="BH12">
        <v>359.44760210894151</v>
      </c>
      <c r="BI12">
        <v>365.82392392260277</v>
      </c>
      <c r="BJ12">
        <v>372.20024573626421</v>
      </c>
      <c r="BK12">
        <v>378.57656754992553</v>
      </c>
      <c r="BL12">
        <v>384.95288936358679</v>
      </c>
      <c r="BM12">
        <v>391.32921117724823</v>
      </c>
      <c r="BN12">
        <v>397.70553299090949</v>
      </c>
      <c r="BO12">
        <v>404.08185480457092</v>
      </c>
      <c r="BP12">
        <v>410.45817661823219</v>
      </c>
      <c r="BQ12">
        <v>416.83449843189351</v>
      </c>
      <c r="BR12">
        <v>423.21082024555488</v>
      </c>
      <c r="BS12">
        <v>429.58714205921632</v>
      </c>
      <c r="BT12">
        <v>435.96346387287753</v>
      </c>
    </row>
    <row r="13" spans="1:73" x14ac:dyDescent="0.25">
      <c r="A13" s="1">
        <f t="shared" si="2"/>
        <v>51.599999999999973</v>
      </c>
      <c r="B13">
        <v>-13.186218112705591</v>
      </c>
      <c r="C13">
        <v>-6.8147975837277261</v>
      </c>
      <c r="D13">
        <v>-0.44337705474986588</v>
      </c>
      <c r="E13">
        <v>5.9280434742279926</v>
      </c>
      <c r="F13">
        <v>12.299464003205861</v>
      </c>
      <c r="G13">
        <v>18.67088453218372</v>
      </c>
      <c r="H13">
        <v>25.042305061161571</v>
      </c>
      <c r="I13">
        <v>31.413725590139439</v>
      </c>
      <c r="J13">
        <v>37.785146119117293</v>
      </c>
      <c r="K13">
        <v>44.156566648095158</v>
      </c>
      <c r="L13">
        <v>50.527987177073022</v>
      </c>
      <c r="M13">
        <v>56.89940770605088</v>
      </c>
      <c r="N13">
        <v>63.270828235028731</v>
      </c>
      <c r="O13">
        <v>69.642248764006595</v>
      </c>
      <c r="P13">
        <v>76.01366929298446</v>
      </c>
      <c r="Q13">
        <v>82.38508982196231</v>
      </c>
      <c r="R13">
        <v>88.756510350940175</v>
      </c>
      <c r="S13">
        <v>95.127930879918026</v>
      </c>
      <c r="T13">
        <v>101.4993514088959</v>
      </c>
      <c r="U13">
        <v>107.8707719378738</v>
      </c>
      <c r="V13">
        <v>114.24219246685161</v>
      </c>
      <c r="W13">
        <v>120.6136129958295</v>
      </c>
      <c r="X13">
        <v>126.98503352480731</v>
      </c>
      <c r="Y13">
        <v>133.3564540537852</v>
      </c>
      <c r="Z13">
        <v>139.72787458276309</v>
      </c>
      <c r="AA13">
        <v>146.0992951117409</v>
      </c>
      <c r="AB13">
        <v>152.47071564071879</v>
      </c>
      <c r="AC13">
        <v>158.8421361696966</v>
      </c>
      <c r="AD13">
        <v>165.21355669867449</v>
      </c>
      <c r="AE13">
        <v>171.58497722765239</v>
      </c>
      <c r="AF13">
        <v>177.9563977566302</v>
      </c>
      <c r="AG13">
        <v>184.32781828560809</v>
      </c>
      <c r="AH13">
        <v>190.69923881458601</v>
      </c>
      <c r="AI13">
        <v>197.07065934356379</v>
      </c>
      <c r="AJ13">
        <v>203.44207987254171</v>
      </c>
      <c r="AK13">
        <v>209.81350040151949</v>
      </c>
      <c r="AL13">
        <v>216.18492093049741</v>
      </c>
      <c r="AM13">
        <v>222.55634145947519</v>
      </c>
      <c r="AN13">
        <v>228.92776198845311</v>
      </c>
      <c r="AO13">
        <v>235.29918251743089</v>
      </c>
      <c r="AP13">
        <v>241.67060304640879</v>
      </c>
      <c r="AQ13">
        <v>248.04202357538671</v>
      </c>
      <c r="AR13">
        <v>254.41344410436449</v>
      </c>
      <c r="AS13">
        <v>260.78486463334241</v>
      </c>
      <c r="AT13">
        <v>267.15628516232027</v>
      </c>
      <c r="AU13">
        <v>273.52770569129808</v>
      </c>
      <c r="AV13">
        <v>279.899126220276</v>
      </c>
      <c r="AW13">
        <v>286.27054674925381</v>
      </c>
      <c r="AX13">
        <v>292.64196727823168</v>
      </c>
      <c r="AY13">
        <v>299.01338780720948</v>
      </c>
      <c r="AZ13">
        <v>305.3848083361874</v>
      </c>
      <c r="BA13">
        <v>311.75622886516533</v>
      </c>
      <c r="BB13">
        <v>318.12764939414308</v>
      </c>
      <c r="BC13">
        <v>324.499069923121</v>
      </c>
      <c r="BD13">
        <v>330.87049045209881</v>
      </c>
      <c r="BE13">
        <v>337.24191098107673</v>
      </c>
      <c r="BF13">
        <v>343.61333151005448</v>
      </c>
      <c r="BG13">
        <v>349.9847520390324</v>
      </c>
      <c r="BH13">
        <v>356.35617256801032</v>
      </c>
      <c r="BI13">
        <v>362.72759309698807</v>
      </c>
      <c r="BJ13">
        <v>369.09901362596611</v>
      </c>
      <c r="BK13">
        <v>375.47043415494392</v>
      </c>
      <c r="BL13">
        <v>381.84185468392172</v>
      </c>
      <c r="BM13">
        <v>388.21327521289959</v>
      </c>
      <c r="BN13">
        <v>394.58469574187751</v>
      </c>
      <c r="BO13">
        <v>400.95611627085532</v>
      </c>
      <c r="BP13">
        <v>407.32753679983318</v>
      </c>
      <c r="BQ13">
        <v>413.69895732881099</v>
      </c>
      <c r="BR13">
        <v>420.07037785778891</v>
      </c>
      <c r="BS13">
        <v>426.44179838676672</v>
      </c>
      <c r="BT13">
        <v>432.81321891574459</v>
      </c>
    </row>
    <row r="14" spans="1:73" x14ac:dyDescent="0.25">
      <c r="A14" s="1">
        <f t="shared" si="2"/>
        <v>53.39999999999997</v>
      </c>
      <c r="B14">
        <v>-15.98923912037038</v>
      </c>
      <c r="C14">
        <v>-9.6227185397529329</v>
      </c>
      <c r="D14">
        <v>-3.2561979591354868</v>
      </c>
      <c r="E14">
        <v>3.1103226214819601</v>
      </c>
      <c r="F14">
        <v>9.4768432020994062</v>
      </c>
      <c r="G14">
        <v>15.84336378271685</v>
      </c>
      <c r="H14">
        <v>22.2098843633343</v>
      </c>
      <c r="I14">
        <v>28.57640494395174</v>
      </c>
      <c r="J14">
        <v>34.942925524569191</v>
      </c>
      <c r="K14">
        <v>41.309446105186638</v>
      </c>
      <c r="L14">
        <v>47.675966685804077</v>
      </c>
      <c r="M14">
        <v>54.042487266421531</v>
      </c>
      <c r="N14">
        <v>60.409007847038993</v>
      </c>
      <c r="O14">
        <v>66.775528427656425</v>
      </c>
      <c r="P14">
        <v>73.142049008273872</v>
      </c>
      <c r="Q14">
        <v>79.508569588891319</v>
      </c>
      <c r="R14">
        <v>85.875090169508766</v>
      </c>
      <c r="S14">
        <v>92.241610750126213</v>
      </c>
      <c r="T14">
        <v>98.60813133074366</v>
      </c>
      <c r="U14">
        <v>104.97465191136109</v>
      </c>
      <c r="V14">
        <v>111.3411724919786</v>
      </c>
      <c r="W14">
        <v>117.707693072596</v>
      </c>
      <c r="X14">
        <v>124.07421365321341</v>
      </c>
      <c r="Y14">
        <v>130.44073423383091</v>
      </c>
      <c r="Z14">
        <v>136.8072548144483</v>
      </c>
      <c r="AA14">
        <v>143.1737753950658</v>
      </c>
      <c r="AB14">
        <v>149.54029597568319</v>
      </c>
      <c r="AC14">
        <v>155.9068165563007</v>
      </c>
      <c r="AD14">
        <v>162.27333713691809</v>
      </c>
      <c r="AE14">
        <v>168.63985771753559</v>
      </c>
      <c r="AF14">
        <v>175.00637829815301</v>
      </c>
      <c r="AG14">
        <v>181.37289887877051</v>
      </c>
      <c r="AH14">
        <v>187.7394194593879</v>
      </c>
      <c r="AI14">
        <v>194.10594004000541</v>
      </c>
      <c r="AJ14">
        <v>200.4724606206228</v>
      </c>
      <c r="AK14">
        <v>206.83898120124019</v>
      </c>
      <c r="AL14">
        <v>213.20550178185769</v>
      </c>
      <c r="AM14">
        <v>219.57202236247511</v>
      </c>
      <c r="AN14">
        <v>225.93854294309261</v>
      </c>
      <c r="AO14">
        <v>232.30506352371009</v>
      </c>
      <c r="AP14">
        <v>238.67158410432751</v>
      </c>
      <c r="AQ14">
        <v>245.0381046849449</v>
      </c>
      <c r="AR14">
        <v>251.4046252655624</v>
      </c>
      <c r="AS14">
        <v>257.77114584617982</v>
      </c>
      <c r="AT14">
        <v>264.1376664267973</v>
      </c>
      <c r="AU14">
        <v>270.50418700741471</v>
      </c>
      <c r="AV14">
        <v>276.87070758803208</v>
      </c>
      <c r="AW14">
        <v>283.23722816864961</v>
      </c>
      <c r="AX14">
        <v>289.60374874926708</v>
      </c>
      <c r="AY14">
        <v>295.97026932988462</v>
      </c>
      <c r="AZ14">
        <v>302.33678991050192</v>
      </c>
      <c r="BA14">
        <v>308.7033104911194</v>
      </c>
      <c r="BB14">
        <v>315.06983107173693</v>
      </c>
      <c r="BC14">
        <v>321.43635165235429</v>
      </c>
      <c r="BD14">
        <v>327.80287223297171</v>
      </c>
      <c r="BE14">
        <v>334.16939281358918</v>
      </c>
      <c r="BF14">
        <v>340.53591339420672</v>
      </c>
      <c r="BG14">
        <v>346.90243397482408</v>
      </c>
      <c r="BH14">
        <v>353.26895455544161</v>
      </c>
      <c r="BI14">
        <v>359.63547513605897</v>
      </c>
      <c r="BJ14">
        <v>366.00199571667639</v>
      </c>
      <c r="BK14">
        <v>372.36851629729392</v>
      </c>
      <c r="BL14">
        <v>378.73503687791128</v>
      </c>
      <c r="BM14">
        <v>385.10155745852882</v>
      </c>
      <c r="BN14">
        <v>391.46807803914618</v>
      </c>
      <c r="BO14">
        <v>397.83459861976371</v>
      </c>
      <c r="BP14">
        <v>404.20111920038107</v>
      </c>
      <c r="BQ14">
        <v>410.56763978099849</v>
      </c>
      <c r="BR14">
        <v>416.93416036161591</v>
      </c>
      <c r="BS14">
        <v>423.30068094223338</v>
      </c>
      <c r="BT14">
        <v>429.66720152285092</v>
      </c>
    </row>
    <row r="15" spans="1:73" x14ac:dyDescent="0.25">
      <c r="A15" s="1">
        <f t="shared" si="2"/>
        <v>55.199999999999967</v>
      </c>
      <c r="B15">
        <v>-18.788134187228039</v>
      </c>
      <c r="C15">
        <v>-12.42651226558635</v>
      </c>
      <c r="D15">
        <v>-6.0648903439446542</v>
      </c>
      <c r="E15">
        <v>0.29673157769703812</v>
      </c>
      <c r="F15">
        <v>6.6583534993387312</v>
      </c>
      <c r="G15">
        <v>13.019975420980421</v>
      </c>
      <c r="H15">
        <v>19.381597342622111</v>
      </c>
      <c r="I15">
        <v>25.743219264263811</v>
      </c>
      <c r="J15">
        <v>32.104841185905507</v>
      </c>
      <c r="K15">
        <v>38.466463107547192</v>
      </c>
      <c r="L15">
        <v>44.828085029188891</v>
      </c>
      <c r="M15">
        <v>51.189706950830583</v>
      </c>
      <c r="N15">
        <v>57.551328872472283</v>
      </c>
      <c r="O15">
        <v>63.912950794113961</v>
      </c>
      <c r="P15">
        <v>70.274572715755653</v>
      </c>
      <c r="Q15">
        <v>76.636194637397352</v>
      </c>
      <c r="R15">
        <v>82.997816559039038</v>
      </c>
      <c r="S15">
        <v>89.359438480680737</v>
      </c>
      <c r="T15">
        <v>95.721060402322422</v>
      </c>
      <c r="U15">
        <v>102.08268232396409</v>
      </c>
      <c r="V15">
        <v>108.44430424560581</v>
      </c>
      <c r="W15">
        <v>114.80592616724751</v>
      </c>
      <c r="X15">
        <v>121.16754808888921</v>
      </c>
      <c r="Y15">
        <v>127.5291700105309</v>
      </c>
      <c r="Z15">
        <v>133.89079193217259</v>
      </c>
      <c r="AA15">
        <v>140.25241385381429</v>
      </c>
      <c r="AB15">
        <v>146.61403577545599</v>
      </c>
      <c r="AC15">
        <v>152.97565769709769</v>
      </c>
      <c r="AD15">
        <v>159.33727961873939</v>
      </c>
      <c r="AE15">
        <v>165.698901540381</v>
      </c>
      <c r="AF15">
        <v>172.0605234620227</v>
      </c>
      <c r="AG15">
        <v>178.4221453836644</v>
      </c>
      <c r="AH15">
        <v>184.7837673053061</v>
      </c>
      <c r="AI15">
        <v>191.1453892269478</v>
      </c>
      <c r="AJ15">
        <v>197.5070111485895</v>
      </c>
      <c r="AK15">
        <v>203.8686330702312</v>
      </c>
      <c r="AL15">
        <v>210.2302549918729</v>
      </c>
      <c r="AM15">
        <v>216.5918769135146</v>
      </c>
      <c r="AN15">
        <v>222.9534988351563</v>
      </c>
      <c r="AO15">
        <v>229.315120756798</v>
      </c>
      <c r="AP15">
        <v>235.67674267843969</v>
      </c>
      <c r="AQ15">
        <v>242.03836460008139</v>
      </c>
      <c r="AR15">
        <v>248.39998652172301</v>
      </c>
      <c r="AS15">
        <v>254.76160844336479</v>
      </c>
      <c r="AT15">
        <v>261.12323036500652</v>
      </c>
      <c r="AU15">
        <v>267.48485228664811</v>
      </c>
      <c r="AV15">
        <v>273.84647420828992</v>
      </c>
      <c r="AW15">
        <v>280.2080961299315</v>
      </c>
      <c r="AX15">
        <v>286.5697180515732</v>
      </c>
      <c r="AY15">
        <v>292.9313399732149</v>
      </c>
      <c r="AZ15">
        <v>299.2929618948566</v>
      </c>
      <c r="BA15">
        <v>305.6545838164983</v>
      </c>
      <c r="BB15">
        <v>312.01620573813989</v>
      </c>
      <c r="BC15">
        <v>318.3778276597817</v>
      </c>
      <c r="BD15">
        <v>324.73944958142329</v>
      </c>
      <c r="BE15">
        <v>331.10107150306499</v>
      </c>
      <c r="BF15">
        <v>337.46269342470669</v>
      </c>
      <c r="BG15">
        <v>343.82431534634838</v>
      </c>
      <c r="BH15">
        <v>350.18593726799008</v>
      </c>
      <c r="BI15">
        <v>356.54755918963178</v>
      </c>
      <c r="BJ15">
        <v>362.90918111127348</v>
      </c>
      <c r="BK15">
        <v>369.27080303291518</v>
      </c>
      <c r="BL15">
        <v>375.63242495455688</v>
      </c>
      <c r="BM15">
        <v>381.99404687619858</v>
      </c>
      <c r="BN15">
        <v>388.35566879784028</v>
      </c>
      <c r="BO15">
        <v>394.71729071948198</v>
      </c>
      <c r="BP15">
        <v>401.07891264112368</v>
      </c>
      <c r="BQ15">
        <v>407.44053456276532</v>
      </c>
      <c r="BR15">
        <v>413.80215648440702</v>
      </c>
      <c r="BS15">
        <v>420.16377840604872</v>
      </c>
      <c r="BT15">
        <v>426.52540032769042</v>
      </c>
    </row>
    <row r="16" spans="1:73" x14ac:dyDescent="0.25">
      <c r="A16" s="1">
        <f t="shared" si="2"/>
        <v>56.999999999999964</v>
      </c>
      <c r="B16">
        <v>-21.582911297440582</v>
      </c>
      <c r="C16">
        <v>-15.2261867939469</v>
      </c>
      <c r="D16">
        <v>-8.8694622904532281</v>
      </c>
      <c r="E16">
        <v>-2.5127377869595522</v>
      </c>
      <c r="F16">
        <v>3.8439867165341242</v>
      </c>
      <c r="G16">
        <v>10.200711220027801</v>
      </c>
      <c r="H16">
        <v>16.557435723521479</v>
      </c>
      <c r="I16">
        <v>22.914160227015159</v>
      </c>
      <c r="J16">
        <v>29.270884730508829</v>
      </c>
      <c r="K16">
        <v>35.627609234002513</v>
      </c>
      <c r="L16">
        <v>41.984333737496179</v>
      </c>
      <c r="M16">
        <v>48.341058240989859</v>
      </c>
      <c r="N16">
        <v>54.697782744483533</v>
      </c>
      <c r="O16">
        <v>61.054507247977213</v>
      </c>
      <c r="P16">
        <v>67.411231751470879</v>
      </c>
      <c r="Q16">
        <v>73.76795625496456</v>
      </c>
      <c r="R16">
        <v>80.12468075845824</v>
      </c>
      <c r="S16">
        <v>86.48140526195192</v>
      </c>
      <c r="T16">
        <v>92.838129765445601</v>
      </c>
      <c r="U16">
        <v>99.194854268939267</v>
      </c>
      <c r="V16">
        <v>105.551578772433</v>
      </c>
      <c r="W16">
        <v>111.9083032759266</v>
      </c>
      <c r="X16">
        <v>118.26502777942029</v>
      </c>
      <c r="Y16">
        <v>124.621752282914</v>
      </c>
      <c r="Z16">
        <v>130.9784767864077</v>
      </c>
      <c r="AA16">
        <v>137.33520128990131</v>
      </c>
      <c r="AB16">
        <v>143.691925793395</v>
      </c>
      <c r="AC16">
        <v>150.0486502968887</v>
      </c>
      <c r="AD16">
        <v>156.40537480038239</v>
      </c>
      <c r="AE16">
        <v>162.76209930387611</v>
      </c>
      <c r="AF16">
        <v>169.11882380736969</v>
      </c>
      <c r="AG16">
        <v>175.47554831086339</v>
      </c>
      <c r="AH16">
        <v>181.83227281435711</v>
      </c>
      <c r="AI16">
        <v>188.18899731785069</v>
      </c>
      <c r="AJ16">
        <v>194.54572182134439</v>
      </c>
      <c r="AK16">
        <v>200.90244632483811</v>
      </c>
      <c r="AL16">
        <v>207.2591708283318</v>
      </c>
      <c r="AM16">
        <v>213.6158953318255</v>
      </c>
      <c r="AN16">
        <v>219.97261983531911</v>
      </c>
      <c r="AO16">
        <v>226.3293443388128</v>
      </c>
      <c r="AP16">
        <v>232.6860688423065</v>
      </c>
      <c r="AQ16">
        <v>239.04279334580011</v>
      </c>
      <c r="AR16">
        <v>245.3995178492938</v>
      </c>
      <c r="AS16">
        <v>251.7562423527875</v>
      </c>
      <c r="AT16">
        <v>258.11296685628122</v>
      </c>
      <c r="AU16">
        <v>264.46969135977491</v>
      </c>
      <c r="AV16">
        <v>270.82641586326849</v>
      </c>
      <c r="AW16">
        <v>277.18314036676219</v>
      </c>
      <c r="AX16">
        <v>283.53986487025588</v>
      </c>
      <c r="AY16">
        <v>289.89658937374958</v>
      </c>
      <c r="AZ16">
        <v>296.25331387724327</v>
      </c>
      <c r="BA16">
        <v>302.61003838073691</v>
      </c>
      <c r="BB16">
        <v>308.9667628842306</v>
      </c>
      <c r="BC16">
        <v>315.32348738772419</v>
      </c>
      <c r="BD16">
        <v>321.68021189121788</v>
      </c>
      <c r="BE16">
        <v>328.03693639471157</v>
      </c>
      <c r="BF16">
        <v>334.39366089820533</v>
      </c>
      <c r="BG16">
        <v>340.75038540169902</v>
      </c>
      <c r="BH16">
        <v>347.10710990519271</v>
      </c>
      <c r="BI16">
        <v>353.4638344086863</v>
      </c>
      <c r="BJ16">
        <v>359.82055891217999</v>
      </c>
      <c r="BK16">
        <v>366.17728341567368</v>
      </c>
      <c r="BL16">
        <v>372.53400791916738</v>
      </c>
      <c r="BM16">
        <v>378.89073242266102</v>
      </c>
      <c r="BN16">
        <v>385.24745692615471</v>
      </c>
      <c r="BO16">
        <v>391.60418142964841</v>
      </c>
      <c r="BP16">
        <v>397.96090593314199</v>
      </c>
      <c r="BQ16">
        <v>404.31763043663568</v>
      </c>
      <c r="BR16">
        <v>410.67435494012938</v>
      </c>
      <c r="BS16">
        <v>417.03107944362313</v>
      </c>
      <c r="BT16">
        <v>423.38780394711682</v>
      </c>
    </row>
    <row r="17" spans="1:72" x14ac:dyDescent="0.25">
      <c r="A17" s="1">
        <f t="shared" si="2"/>
        <v>58.799999999999962</v>
      </c>
      <c r="B17">
        <v>-24.373578333341641</v>
      </c>
      <c r="C17">
        <v>-18.021750057838059</v>
      </c>
      <c r="D17">
        <v>-11.669921782334489</v>
      </c>
      <c r="E17">
        <v>-5.3180935068309116</v>
      </c>
      <c r="F17">
        <v>1.0337347686726639</v>
      </c>
      <c r="G17">
        <v>7.3855630441762399</v>
      </c>
      <c r="H17">
        <v>13.737391319679819</v>
      </c>
      <c r="I17">
        <v>20.089219595183391</v>
      </c>
      <c r="J17">
        <v>26.441047870686969</v>
      </c>
      <c r="K17">
        <v>32.792876146190537</v>
      </c>
      <c r="L17">
        <v>39.144704421694122</v>
      </c>
      <c r="M17">
        <v>45.496532697197694</v>
      </c>
      <c r="N17">
        <v>51.848360972701272</v>
      </c>
      <c r="O17">
        <v>58.200189248204843</v>
      </c>
      <c r="P17">
        <v>64.552017523708429</v>
      </c>
      <c r="Q17">
        <v>70.903845799212007</v>
      </c>
      <c r="R17">
        <v>77.255674074715586</v>
      </c>
      <c r="S17">
        <v>83.60750235021915</v>
      </c>
      <c r="T17">
        <v>89.959330625722728</v>
      </c>
      <c r="U17">
        <v>96.311158901226307</v>
      </c>
      <c r="V17">
        <v>102.6629871767299</v>
      </c>
      <c r="W17">
        <v>109.01481545223341</v>
      </c>
      <c r="X17">
        <v>115.366643727737</v>
      </c>
      <c r="Y17">
        <v>121.71847200324061</v>
      </c>
      <c r="Z17">
        <v>128.07030027874421</v>
      </c>
      <c r="AA17">
        <v>134.42212855424779</v>
      </c>
      <c r="AB17">
        <v>140.77395682975131</v>
      </c>
      <c r="AC17">
        <v>147.12578510525489</v>
      </c>
      <c r="AD17">
        <v>153.4776133807585</v>
      </c>
      <c r="AE17">
        <v>159.82944165626211</v>
      </c>
      <c r="AF17">
        <v>166.1812699317656</v>
      </c>
      <c r="AG17">
        <v>172.53309820726921</v>
      </c>
      <c r="AH17">
        <v>178.88492648277281</v>
      </c>
      <c r="AI17">
        <v>185.23675475827639</v>
      </c>
      <c r="AJ17">
        <v>191.58858303377991</v>
      </c>
      <c r="AK17">
        <v>197.94041130928349</v>
      </c>
      <c r="AL17">
        <v>204.2922395847871</v>
      </c>
      <c r="AM17">
        <v>210.6440678602907</v>
      </c>
      <c r="AN17">
        <v>216.9958961357942</v>
      </c>
      <c r="AO17">
        <v>223.3477244112978</v>
      </c>
      <c r="AP17">
        <v>229.69955268680141</v>
      </c>
      <c r="AQ17">
        <v>236.05138096230499</v>
      </c>
      <c r="AR17">
        <v>242.40320923780851</v>
      </c>
      <c r="AS17">
        <v>248.75503751331209</v>
      </c>
      <c r="AT17">
        <v>255.1068657888157</v>
      </c>
      <c r="AU17">
        <v>261.45869406431927</v>
      </c>
      <c r="AV17">
        <v>267.81052233982291</v>
      </c>
      <c r="AW17">
        <v>274.16235061532637</v>
      </c>
      <c r="AX17">
        <v>280.51417889083001</v>
      </c>
      <c r="AY17">
        <v>286.86600716633359</v>
      </c>
      <c r="AZ17">
        <v>293.21783544183722</v>
      </c>
      <c r="BA17">
        <v>299.56966371734069</v>
      </c>
      <c r="BB17">
        <v>305.92149199284432</v>
      </c>
      <c r="BC17">
        <v>312.2733202683479</v>
      </c>
      <c r="BD17">
        <v>318.62514854385148</v>
      </c>
      <c r="BE17">
        <v>324.97697681935512</v>
      </c>
      <c r="BF17">
        <v>331.32880509485858</v>
      </c>
      <c r="BG17">
        <v>337.68063337036222</v>
      </c>
      <c r="BH17">
        <v>344.03246164586579</v>
      </c>
      <c r="BI17">
        <v>350.38428992136932</v>
      </c>
      <c r="BJ17">
        <v>356.73611819687301</v>
      </c>
      <c r="BK17">
        <v>363.08794647237647</v>
      </c>
      <c r="BL17">
        <v>369.43977474788011</v>
      </c>
      <c r="BM17">
        <v>375.79160302338369</v>
      </c>
      <c r="BN17">
        <v>382.14343129888721</v>
      </c>
      <c r="BO17">
        <v>388.49525957439079</v>
      </c>
      <c r="BP17">
        <v>394.84708784989442</v>
      </c>
      <c r="BQ17">
        <v>401.19891612539789</v>
      </c>
      <c r="BR17">
        <v>407.55074440090152</v>
      </c>
      <c r="BS17">
        <v>413.9025726764051</v>
      </c>
      <c r="BT17">
        <v>420.25440095190868</v>
      </c>
    </row>
    <row r="18" spans="1:72" x14ac:dyDescent="0.25">
      <c r="A18" s="1">
        <f t="shared" si="2"/>
        <v>60.599999999999959</v>
      </c>
      <c r="B18">
        <v>-27.16014306895449</v>
      </c>
      <c r="C18">
        <v>-20.813209884550581</v>
      </c>
      <c r="D18">
        <v>-14.466276700146681</v>
      </c>
      <c r="E18">
        <v>-8.11934351574277</v>
      </c>
      <c r="F18">
        <v>-1.7724103313388639</v>
      </c>
      <c r="G18">
        <v>4.5745228530650426</v>
      </c>
      <c r="H18">
        <v>10.92145603746895</v>
      </c>
      <c r="I18">
        <v>17.268389221872859</v>
      </c>
      <c r="J18">
        <v>23.615322406276761</v>
      </c>
      <c r="K18">
        <v>29.96225559068067</v>
      </c>
      <c r="L18">
        <v>36.309188775084571</v>
      </c>
      <c r="M18">
        <v>42.65612195948848</v>
      </c>
      <c r="N18">
        <v>49.003055143892389</v>
      </c>
      <c r="O18">
        <v>55.349988328296291</v>
      </c>
      <c r="P18">
        <v>61.6969215127002</v>
      </c>
      <c r="Q18">
        <v>68.043854697104109</v>
      </c>
      <c r="R18">
        <v>74.390787881508018</v>
      </c>
      <c r="S18">
        <v>80.737721065911913</v>
      </c>
      <c r="T18">
        <v>87.084654250315836</v>
      </c>
      <c r="U18">
        <v>93.431587434719731</v>
      </c>
      <c r="V18">
        <v>99.77852061912364</v>
      </c>
      <c r="W18">
        <v>106.12545380352761</v>
      </c>
      <c r="X18">
        <v>112.4723869879315</v>
      </c>
      <c r="Y18">
        <v>118.8193201723354</v>
      </c>
      <c r="Z18">
        <v>125.1662533567393</v>
      </c>
      <c r="AA18">
        <v>131.5131865411432</v>
      </c>
      <c r="AB18">
        <v>137.86011972554709</v>
      </c>
      <c r="AC18">
        <v>144.20705290995099</v>
      </c>
      <c r="AD18">
        <v>150.55398609435491</v>
      </c>
      <c r="AE18">
        <v>156.90091927875881</v>
      </c>
      <c r="AF18">
        <v>163.2478524631627</v>
      </c>
      <c r="AG18">
        <v>169.5947856475666</v>
      </c>
      <c r="AH18">
        <v>175.94171883197049</v>
      </c>
      <c r="AI18">
        <v>182.28865201637441</v>
      </c>
      <c r="AJ18">
        <v>188.63558520077839</v>
      </c>
      <c r="AK18">
        <v>194.98251838518229</v>
      </c>
      <c r="AL18">
        <v>201.32945156958621</v>
      </c>
      <c r="AM18">
        <v>207.67638475398999</v>
      </c>
      <c r="AN18">
        <v>214.02331793839389</v>
      </c>
      <c r="AO18">
        <v>220.3702511227979</v>
      </c>
      <c r="AP18">
        <v>226.71718430720179</v>
      </c>
      <c r="AQ18">
        <v>233.06411749160571</v>
      </c>
      <c r="AR18">
        <v>239.41105067600961</v>
      </c>
      <c r="AS18">
        <v>245.7579838604135</v>
      </c>
      <c r="AT18">
        <v>252.1049170448174</v>
      </c>
      <c r="AU18">
        <v>258.45185022922129</v>
      </c>
      <c r="AV18">
        <v>264.79878341362519</v>
      </c>
      <c r="AW18">
        <v>271.14571659802908</v>
      </c>
      <c r="AX18">
        <v>277.49264978243298</v>
      </c>
      <c r="AY18">
        <v>283.83958296683687</v>
      </c>
      <c r="AZ18">
        <v>290.18651615124088</v>
      </c>
      <c r="BA18">
        <v>296.53344933564478</v>
      </c>
      <c r="BB18">
        <v>302.88038252004873</v>
      </c>
      <c r="BC18">
        <v>309.22731570445262</v>
      </c>
      <c r="BD18">
        <v>315.57424888885652</v>
      </c>
      <c r="BE18">
        <v>321.92118207326041</v>
      </c>
      <c r="BF18">
        <v>328.26811525766419</v>
      </c>
      <c r="BG18">
        <v>334.61504844206809</v>
      </c>
      <c r="BH18">
        <v>340.9619816264721</v>
      </c>
      <c r="BI18">
        <v>347.30891481087599</v>
      </c>
      <c r="BJ18">
        <v>353.65584799527988</v>
      </c>
      <c r="BK18">
        <v>360.00278117968378</v>
      </c>
      <c r="BL18">
        <v>366.34971436408767</v>
      </c>
      <c r="BM18">
        <v>372.69664754849163</v>
      </c>
      <c r="BN18">
        <v>379.04358073289552</v>
      </c>
      <c r="BO18">
        <v>385.39051391729942</v>
      </c>
      <c r="BP18">
        <v>391.73744710170331</v>
      </c>
      <c r="BQ18">
        <v>398.08438028610732</v>
      </c>
      <c r="BR18">
        <v>404.43131347051121</v>
      </c>
      <c r="BS18">
        <v>410.77824665491511</v>
      </c>
      <c r="BT18">
        <v>417.12517983931889</v>
      </c>
    </row>
    <row r="19" spans="1:72" x14ac:dyDescent="0.25">
      <c r="A19" s="1">
        <f t="shared" si="2"/>
        <v>62.399999999999956</v>
      </c>
      <c r="B19">
        <v>-29.94261316224436</v>
      </c>
      <c r="C19">
        <v>-23.60057398838735</v>
      </c>
      <c r="D19">
        <v>-17.258534814530339</v>
      </c>
      <c r="E19">
        <v>-10.916495640673331</v>
      </c>
      <c r="F19">
        <v>-4.5744564668163203</v>
      </c>
      <c r="G19">
        <v>1.76758270704069</v>
      </c>
      <c r="H19">
        <v>8.1096218808977003</v>
      </c>
      <c r="I19">
        <v>14.451661054754711</v>
      </c>
      <c r="J19">
        <v>20.793700228611719</v>
      </c>
      <c r="K19">
        <v>27.13573940246873</v>
      </c>
      <c r="L19">
        <v>33.47777857632574</v>
      </c>
      <c r="M19">
        <v>39.819817750182757</v>
      </c>
      <c r="N19">
        <v>46.16185692403976</v>
      </c>
      <c r="O19">
        <v>52.503896097896778</v>
      </c>
      <c r="P19">
        <v>58.845935271753781</v>
      </c>
      <c r="Q19">
        <v>65.187974445610791</v>
      </c>
      <c r="R19">
        <v>71.530013619467795</v>
      </c>
      <c r="S19">
        <v>77.872052793324826</v>
      </c>
      <c r="T19">
        <v>84.21409196718183</v>
      </c>
      <c r="U19">
        <v>90.556131141038833</v>
      </c>
      <c r="V19">
        <v>96.898170314895836</v>
      </c>
      <c r="W19">
        <v>103.2402094887529</v>
      </c>
      <c r="X19">
        <v>109.5822486626099</v>
      </c>
      <c r="Y19">
        <v>115.9242878364669</v>
      </c>
      <c r="Z19">
        <v>122.26632701032391</v>
      </c>
      <c r="AA19">
        <v>128.60836618418091</v>
      </c>
      <c r="AB19">
        <v>134.9504053580379</v>
      </c>
      <c r="AC19">
        <v>141.29244453189489</v>
      </c>
      <c r="AD19">
        <v>147.6344837057519</v>
      </c>
      <c r="AE19">
        <v>153.97652287960889</v>
      </c>
      <c r="AF19">
        <v>160.318562053466</v>
      </c>
      <c r="AG19">
        <v>166.66060122732301</v>
      </c>
      <c r="AH19">
        <v>173.00264040118</v>
      </c>
      <c r="AI19">
        <v>179.34467957503699</v>
      </c>
      <c r="AJ19">
        <v>185.68671874889401</v>
      </c>
      <c r="AK19">
        <v>192.028757922751</v>
      </c>
      <c r="AL19">
        <v>198.37079709660799</v>
      </c>
      <c r="AM19">
        <v>204.712836270465</v>
      </c>
      <c r="AN19">
        <v>211.05487544432199</v>
      </c>
      <c r="AO19">
        <v>217.39691461817901</v>
      </c>
      <c r="AP19">
        <v>223.738953792036</v>
      </c>
      <c r="AQ19">
        <v>230.08099296589299</v>
      </c>
      <c r="AR19">
        <v>236.42303213975009</v>
      </c>
      <c r="AS19">
        <v>242.76507131360711</v>
      </c>
      <c r="AT19">
        <v>249.1071104874641</v>
      </c>
      <c r="AU19">
        <v>255.44914966132109</v>
      </c>
      <c r="AV19">
        <v>261.7911888351781</v>
      </c>
      <c r="AW19">
        <v>268.13322800903512</v>
      </c>
      <c r="AX19">
        <v>274.47526718289208</v>
      </c>
      <c r="AY19">
        <v>280.8173063567491</v>
      </c>
      <c r="AZ19">
        <v>287.15934553060612</v>
      </c>
      <c r="BA19">
        <v>293.50138470446308</v>
      </c>
      <c r="BB19">
        <v>299.84342387832021</v>
      </c>
      <c r="BC19">
        <v>306.18546305217723</v>
      </c>
      <c r="BD19">
        <v>312.52750222603419</v>
      </c>
      <c r="BE19">
        <v>318.8695413998912</v>
      </c>
      <c r="BF19">
        <v>325.21158057374822</v>
      </c>
      <c r="BG19">
        <v>331.55361974760518</v>
      </c>
      <c r="BH19">
        <v>337.89565892146231</v>
      </c>
      <c r="BI19">
        <v>344.23769809531922</v>
      </c>
      <c r="BJ19">
        <v>350.57973726917618</v>
      </c>
      <c r="BK19">
        <v>356.92177644303331</v>
      </c>
      <c r="BL19">
        <v>363.26381561689033</v>
      </c>
      <c r="BM19">
        <v>369.60585479074729</v>
      </c>
      <c r="BN19">
        <v>375.9478939646043</v>
      </c>
      <c r="BO19">
        <v>382.28993313846132</v>
      </c>
      <c r="BP19">
        <v>388.63197231231828</v>
      </c>
      <c r="BQ19">
        <v>394.9740114861753</v>
      </c>
      <c r="BR19">
        <v>401.31605066003232</v>
      </c>
      <c r="BS19">
        <v>407.65808983388928</v>
      </c>
      <c r="BT19">
        <v>414.00012900774641</v>
      </c>
    </row>
    <row r="20" spans="1:72" x14ac:dyDescent="0.25">
      <c r="A20" s="1">
        <f t="shared" si="2"/>
        <v>64.19999999999996</v>
      </c>
      <c r="B20">
        <v>-32.720996146156189</v>
      </c>
      <c r="C20">
        <v>-26.383849962158859</v>
      </c>
      <c r="D20">
        <v>-20.04670377816154</v>
      </c>
      <c r="E20">
        <v>-13.70955759416421</v>
      </c>
      <c r="F20">
        <v>-7.3724114101668849</v>
      </c>
      <c r="G20">
        <v>-1.0352652261695601</v>
      </c>
      <c r="H20">
        <v>5.3018809578277661</v>
      </c>
      <c r="I20">
        <v>11.639027141825091</v>
      </c>
      <c r="J20">
        <v>17.976173325822419</v>
      </c>
      <c r="K20">
        <v>24.313319509819738</v>
      </c>
      <c r="L20">
        <v>30.650465693817068</v>
      </c>
      <c r="M20">
        <v>36.987611877814388</v>
      </c>
      <c r="N20">
        <v>43.324758061811721</v>
      </c>
      <c r="O20">
        <v>49.661904245809048</v>
      </c>
      <c r="P20">
        <v>55.999050429806367</v>
      </c>
      <c r="Q20">
        <v>62.336196613803708</v>
      </c>
      <c r="R20">
        <v>68.673342797801027</v>
      </c>
      <c r="S20">
        <v>75.010488981798346</v>
      </c>
      <c r="T20">
        <v>81.34763516579568</v>
      </c>
      <c r="U20">
        <v>87.684781349792999</v>
      </c>
      <c r="V20">
        <v>94.021927533790333</v>
      </c>
      <c r="W20">
        <v>100.35907371778769</v>
      </c>
      <c r="X20">
        <v>106.696219901785</v>
      </c>
      <c r="Y20">
        <v>113.0333660857823</v>
      </c>
      <c r="Z20">
        <v>119.3705122697796</v>
      </c>
      <c r="AA20">
        <v>125.707658453777</v>
      </c>
      <c r="AB20">
        <v>132.04480463777429</v>
      </c>
      <c r="AC20">
        <v>138.3819508217716</v>
      </c>
      <c r="AD20">
        <v>144.7190970057689</v>
      </c>
      <c r="AE20">
        <v>151.05624318976629</v>
      </c>
      <c r="AF20">
        <v>157.3933893737636</v>
      </c>
      <c r="AG20">
        <v>163.7305355577609</v>
      </c>
      <c r="AH20">
        <v>170.06768174175821</v>
      </c>
      <c r="AI20">
        <v>176.4048279257556</v>
      </c>
      <c r="AJ20">
        <v>182.7419741097529</v>
      </c>
      <c r="AK20">
        <v>189.07912029375021</v>
      </c>
      <c r="AL20">
        <v>195.41626647774751</v>
      </c>
      <c r="AM20">
        <v>201.75341266174479</v>
      </c>
      <c r="AN20">
        <v>208.09055884574221</v>
      </c>
      <c r="AO20">
        <v>214.42770502973951</v>
      </c>
      <c r="AP20">
        <v>220.7648512137369</v>
      </c>
      <c r="AQ20">
        <v>227.10199739773421</v>
      </c>
      <c r="AR20">
        <v>233.43914358173151</v>
      </c>
      <c r="AS20">
        <v>239.77628976572879</v>
      </c>
      <c r="AT20">
        <v>246.11343594972621</v>
      </c>
      <c r="AU20">
        <v>252.45058213372349</v>
      </c>
      <c r="AV20">
        <v>258.78772831772079</v>
      </c>
      <c r="AW20">
        <v>265.12487450171818</v>
      </c>
      <c r="AX20">
        <v>271.46202068571552</v>
      </c>
      <c r="AY20">
        <v>277.79916686971279</v>
      </c>
      <c r="AZ20">
        <v>284.13631305371013</v>
      </c>
      <c r="BA20">
        <v>290.47345923770752</v>
      </c>
      <c r="BB20">
        <v>296.81060542170479</v>
      </c>
      <c r="BC20">
        <v>303.14775160570213</v>
      </c>
      <c r="BD20">
        <v>309.48489778969952</v>
      </c>
      <c r="BE20">
        <v>315.82204397369668</v>
      </c>
      <c r="BF20">
        <v>322.15919015769413</v>
      </c>
      <c r="BG20">
        <v>328.4963363416914</v>
      </c>
      <c r="BH20">
        <v>334.83348252568868</v>
      </c>
      <c r="BI20">
        <v>341.17062870968613</v>
      </c>
      <c r="BJ20">
        <v>347.50777489368329</v>
      </c>
      <c r="BK20">
        <v>353.84492107768068</v>
      </c>
      <c r="BL20">
        <v>360.18206726167801</v>
      </c>
      <c r="BM20">
        <v>366.5192134456754</v>
      </c>
      <c r="BN20">
        <v>372.85635962967268</v>
      </c>
      <c r="BO20">
        <v>379.19350581367001</v>
      </c>
      <c r="BP20">
        <v>385.53065199766729</v>
      </c>
      <c r="BQ20">
        <v>391.86779818166463</v>
      </c>
      <c r="BR20">
        <v>398.20494436566202</v>
      </c>
      <c r="BS20">
        <v>404.54209054965929</v>
      </c>
      <c r="BT20">
        <v>410.87923673365668</v>
      </c>
    </row>
    <row r="21" spans="1:72" x14ac:dyDescent="0.25">
      <c r="A21" s="1">
        <f t="shared" si="2"/>
        <v>65.999999999999957</v>
      </c>
      <c r="B21">
        <v>-35.495299418497652</v>
      </c>
      <c r="C21">
        <v>-29.163045267507009</v>
      </c>
      <c r="D21">
        <v>-22.830791116516369</v>
      </c>
      <c r="E21">
        <v>-16.49853696552573</v>
      </c>
      <c r="F21">
        <v>-10.166282814535091</v>
      </c>
      <c r="G21">
        <v>-3.8340286635444518</v>
      </c>
      <c r="H21">
        <v>2.4982254874461889</v>
      </c>
      <c r="I21">
        <v>8.8304796384368291</v>
      </c>
      <c r="J21">
        <v>15.16273378942747</v>
      </c>
      <c r="K21">
        <v>21.49498794041811</v>
      </c>
      <c r="L21">
        <v>27.827242091408749</v>
      </c>
      <c r="M21">
        <v>34.159496242399392</v>
      </c>
      <c r="N21">
        <v>40.491750393390028</v>
      </c>
      <c r="O21">
        <v>46.824004544380678</v>
      </c>
      <c r="P21">
        <v>53.156258695371307</v>
      </c>
      <c r="Q21">
        <v>59.488512846361957</v>
      </c>
      <c r="R21">
        <v>65.820766997352592</v>
      </c>
      <c r="S21">
        <v>72.153021148343242</v>
      </c>
      <c r="T21">
        <v>78.485275299333878</v>
      </c>
      <c r="U21">
        <v>84.817529450324528</v>
      </c>
      <c r="V21">
        <v>91.149783601315164</v>
      </c>
      <c r="W21">
        <v>97.4820377523058</v>
      </c>
      <c r="X21">
        <v>103.81429190329639</v>
      </c>
      <c r="Y21">
        <v>110.1465460542871</v>
      </c>
      <c r="Z21">
        <v>116.47880020527769</v>
      </c>
      <c r="AA21">
        <v>122.8110543562684</v>
      </c>
      <c r="AB21">
        <v>129.14330850725901</v>
      </c>
      <c r="AC21">
        <v>135.47556265824969</v>
      </c>
      <c r="AD21">
        <v>141.80781680924031</v>
      </c>
      <c r="AE21">
        <v>148.1400709602309</v>
      </c>
      <c r="AF21">
        <v>154.47232511122161</v>
      </c>
      <c r="AG21">
        <v>160.8045792622122</v>
      </c>
      <c r="AH21">
        <v>167.13683341320291</v>
      </c>
      <c r="AI21">
        <v>173.4690875641935</v>
      </c>
      <c r="AJ21">
        <v>179.80134171518409</v>
      </c>
      <c r="AK21">
        <v>186.13359586617469</v>
      </c>
      <c r="AL21">
        <v>192.46585001716539</v>
      </c>
      <c r="AM21">
        <v>198.79810416815599</v>
      </c>
      <c r="AN21">
        <v>205.13035831914669</v>
      </c>
      <c r="AO21">
        <v>211.46261247013729</v>
      </c>
      <c r="AP21">
        <v>217.79486662112799</v>
      </c>
      <c r="AQ21">
        <v>224.12712077211859</v>
      </c>
      <c r="AR21">
        <v>230.45937492310921</v>
      </c>
      <c r="AS21">
        <v>236.79162907409989</v>
      </c>
      <c r="AT21">
        <v>243.12388322509051</v>
      </c>
      <c r="AU21">
        <v>249.45613737608119</v>
      </c>
      <c r="AV21">
        <v>255.78839152707181</v>
      </c>
      <c r="AW21">
        <v>262.12064567806237</v>
      </c>
      <c r="AX21">
        <v>268.45289982905308</v>
      </c>
      <c r="AY21">
        <v>274.78515398004367</v>
      </c>
      <c r="AZ21">
        <v>281.11740813103438</v>
      </c>
      <c r="BA21">
        <v>287.44966228202497</v>
      </c>
      <c r="BB21">
        <v>293.78191643301562</v>
      </c>
      <c r="BC21">
        <v>300.11417058400627</v>
      </c>
      <c r="BD21">
        <v>306.44642473499698</v>
      </c>
      <c r="BE21">
        <v>312.77867888598757</v>
      </c>
      <c r="BF21">
        <v>319.11093303697822</v>
      </c>
      <c r="BG21">
        <v>325.44318718796887</v>
      </c>
      <c r="BH21">
        <v>331.77544133895952</v>
      </c>
      <c r="BI21">
        <v>338.10769548995017</v>
      </c>
      <c r="BJ21">
        <v>344.43994964094082</v>
      </c>
      <c r="BK21">
        <v>350.77220379193142</v>
      </c>
      <c r="BL21">
        <v>357.10445794292212</v>
      </c>
      <c r="BM21">
        <v>363.43671209391272</v>
      </c>
      <c r="BN21">
        <v>369.76896624490342</v>
      </c>
      <c r="BO21">
        <v>376.10122039589402</v>
      </c>
      <c r="BP21">
        <v>382.43347454688461</v>
      </c>
      <c r="BQ21">
        <v>388.76572869787532</v>
      </c>
      <c r="BR21">
        <v>395.09798284886591</v>
      </c>
      <c r="BS21">
        <v>401.43023699985662</v>
      </c>
      <c r="BT21">
        <v>407.76249115084721</v>
      </c>
    </row>
    <row r="22" spans="1:72" x14ac:dyDescent="0.25">
      <c r="A22" s="1">
        <f t="shared" si="2"/>
        <v>67.799999999999955</v>
      </c>
      <c r="B22">
        <v>-38.265530230732708</v>
      </c>
      <c r="C22">
        <v>-31.938167224120289</v>
      </c>
      <c r="D22">
        <v>-25.610804217507869</v>
      </c>
      <c r="E22">
        <v>-19.28344121089545</v>
      </c>
      <c r="F22">
        <v>-12.956078204283029</v>
      </c>
      <c r="G22">
        <v>-6.6287151976706067</v>
      </c>
      <c r="H22">
        <v>-0.30135219105818739</v>
      </c>
      <c r="I22">
        <v>6.0260108155542316</v>
      </c>
      <c r="J22">
        <v>12.353373822166651</v>
      </c>
      <c r="K22">
        <v>18.680736828779072</v>
      </c>
      <c r="L22">
        <v>25.008099835391491</v>
      </c>
      <c r="M22">
        <v>31.33546284200391</v>
      </c>
      <c r="N22">
        <v>37.662825848616329</v>
      </c>
      <c r="O22">
        <v>43.990188855228752</v>
      </c>
      <c r="P22">
        <v>50.317551861841167</v>
      </c>
      <c r="Q22">
        <v>56.644914868453597</v>
      </c>
      <c r="R22">
        <v>62.972277875066013</v>
      </c>
      <c r="S22">
        <v>69.299640881678428</v>
      </c>
      <c r="T22">
        <v>75.627003888290844</v>
      </c>
      <c r="U22">
        <v>81.954366894903274</v>
      </c>
      <c r="V22">
        <v>88.281729901515689</v>
      </c>
      <c r="W22">
        <v>94.609092908128105</v>
      </c>
      <c r="X22">
        <v>100.93645591474051</v>
      </c>
      <c r="Y22">
        <v>107.26381892135301</v>
      </c>
      <c r="Z22">
        <v>113.59118192796539</v>
      </c>
      <c r="AA22">
        <v>119.9185449345778</v>
      </c>
      <c r="AB22">
        <v>126.2459079411902</v>
      </c>
      <c r="AC22">
        <v>132.5732709478026</v>
      </c>
      <c r="AD22">
        <v>138.90063395441501</v>
      </c>
      <c r="AE22">
        <v>145.22799696102749</v>
      </c>
      <c r="AF22">
        <v>151.5553599676399</v>
      </c>
      <c r="AG22">
        <v>157.88272297425229</v>
      </c>
      <c r="AH22">
        <v>164.2100859808647</v>
      </c>
      <c r="AI22">
        <v>170.53744898747709</v>
      </c>
      <c r="AJ22">
        <v>176.86481199408959</v>
      </c>
      <c r="AK22">
        <v>183.19217500070201</v>
      </c>
      <c r="AL22">
        <v>189.5195380073144</v>
      </c>
      <c r="AM22">
        <v>195.84690101392681</v>
      </c>
      <c r="AN22">
        <v>202.1742640205392</v>
      </c>
      <c r="AO22">
        <v>208.50162702715161</v>
      </c>
      <c r="AP22">
        <v>214.82899003376409</v>
      </c>
      <c r="AQ22">
        <v>221.1563530403765</v>
      </c>
      <c r="AR22">
        <v>227.48371604698889</v>
      </c>
      <c r="AS22">
        <v>233.8110790536013</v>
      </c>
      <c r="AT22">
        <v>240.13844206021381</v>
      </c>
      <c r="AU22">
        <v>246.46580506682619</v>
      </c>
      <c r="AV22">
        <v>252.79316807343861</v>
      </c>
      <c r="AW22">
        <v>259.12053108005102</v>
      </c>
      <c r="AX22">
        <v>265.44789408666338</v>
      </c>
      <c r="AY22">
        <v>271.77525709327591</v>
      </c>
      <c r="AZ22">
        <v>278.10262009988833</v>
      </c>
      <c r="BA22">
        <v>284.42998310650069</v>
      </c>
      <c r="BB22">
        <v>290.7573461131131</v>
      </c>
      <c r="BC22">
        <v>297.08470911972557</v>
      </c>
      <c r="BD22">
        <v>303.41207212633788</v>
      </c>
      <c r="BE22">
        <v>309.7394351329504</v>
      </c>
      <c r="BF22">
        <v>316.06679813956282</v>
      </c>
      <c r="BG22">
        <v>322.39416114617518</v>
      </c>
      <c r="BH22">
        <v>328.72152415278759</v>
      </c>
      <c r="BI22">
        <v>335.04888715940012</v>
      </c>
      <c r="BJ22">
        <v>341.37625016601243</v>
      </c>
      <c r="BK22">
        <v>347.7036131726249</v>
      </c>
      <c r="BL22">
        <v>354.03097617923731</v>
      </c>
      <c r="BM22">
        <v>360.35833918584967</v>
      </c>
      <c r="BN22">
        <v>366.6857021924622</v>
      </c>
      <c r="BO22">
        <v>373.01306519907462</v>
      </c>
      <c r="BP22">
        <v>379.34042820568698</v>
      </c>
      <c r="BQ22">
        <v>385.66779121229939</v>
      </c>
      <c r="BR22">
        <v>391.99515421891192</v>
      </c>
      <c r="BS22">
        <v>398.32251722552422</v>
      </c>
      <c r="BT22">
        <v>404.6498802321367</v>
      </c>
    </row>
    <row r="23" spans="1:72" x14ac:dyDescent="0.25">
      <c r="A23" s="1">
        <f t="shared" si="2"/>
        <v>69.599999999999952</v>
      </c>
      <c r="B23">
        <v>-41.031695675756772</v>
      </c>
      <c r="C23">
        <v>-34.709222997909819</v>
      </c>
      <c r="D23">
        <v>-28.38675032006288</v>
      </c>
      <c r="E23">
        <v>-22.06427764221592</v>
      </c>
      <c r="F23">
        <v>-15.741804964368971</v>
      </c>
      <c r="G23">
        <v>-9.419332286522021</v>
      </c>
      <c r="H23">
        <v>-3.0968596086750688</v>
      </c>
      <c r="I23">
        <v>3.2256130691718821</v>
      </c>
      <c r="J23">
        <v>9.5480857470188329</v>
      </c>
      <c r="K23">
        <v>15.870558424865781</v>
      </c>
      <c r="L23">
        <v>22.19303110271273</v>
      </c>
      <c r="M23">
        <v>28.51550378055968</v>
      </c>
      <c r="N23">
        <v>34.837976458406636</v>
      </c>
      <c r="O23">
        <v>41.16044913625359</v>
      </c>
      <c r="P23">
        <v>47.482921814100543</v>
      </c>
      <c r="Q23">
        <v>53.805394491947489</v>
      </c>
      <c r="R23">
        <v>60.127867169794428</v>
      </c>
      <c r="S23">
        <v>66.450339847641388</v>
      </c>
      <c r="T23">
        <v>72.772812525488348</v>
      </c>
      <c r="U23">
        <v>79.095285203335294</v>
      </c>
      <c r="V23">
        <v>85.417757881182254</v>
      </c>
      <c r="W23">
        <v>91.740230559029186</v>
      </c>
      <c r="X23">
        <v>98.062703236876146</v>
      </c>
      <c r="Y23">
        <v>104.38517591472311</v>
      </c>
      <c r="Z23">
        <v>110.70764859257</v>
      </c>
      <c r="AA23">
        <v>117.030121270417</v>
      </c>
      <c r="AB23">
        <v>123.3525939482639</v>
      </c>
      <c r="AC23">
        <v>129.67506662611089</v>
      </c>
      <c r="AD23">
        <v>135.99753930395781</v>
      </c>
      <c r="AE23">
        <v>142.32001198180481</v>
      </c>
      <c r="AF23">
        <v>148.64248465965181</v>
      </c>
      <c r="AG23">
        <v>154.9649573374987</v>
      </c>
      <c r="AH23">
        <v>161.28743001534559</v>
      </c>
      <c r="AI23">
        <v>167.60990269319259</v>
      </c>
      <c r="AJ23">
        <v>173.9323753710396</v>
      </c>
      <c r="AK23">
        <v>180.25484804888649</v>
      </c>
      <c r="AL23">
        <v>186.57732072673349</v>
      </c>
      <c r="AM23">
        <v>192.89979340458041</v>
      </c>
      <c r="AN23">
        <v>199.22226608242741</v>
      </c>
      <c r="AO23">
        <v>205.5447387602743</v>
      </c>
      <c r="AP23">
        <v>211.8672114381213</v>
      </c>
      <c r="AQ23">
        <v>218.18968411596819</v>
      </c>
      <c r="AR23">
        <v>224.51215679381511</v>
      </c>
      <c r="AS23">
        <v>230.83462947166211</v>
      </c>
      <c r="AT23">
        <v>237.15710214950909</v>
      </c>
      <c r="AU23">
        <v>243.479574827356</v>
      </c>
      <c r="AV23">
        <v>249.80204750520289</v>
      </c>
      <c r="AW23">
        <v>256.12452018304992</v>
      </c>
      <c r="AX23">
        <v>262.4469928608969</v>
      </c>
      <c r="AY23">
        <v>268.76946553874382</v>
      </c>
      <c r="AZ23">
        <v>275.09193821659079</v>
      </c>
      <c r="BA23">
        <v>281.41441089443771</v>
      </c>
      <c r="BB23">
        <v>287.73688357228463</v>
      </c>
      <c r="BC23">
        <v>294.05935625013171</v>
      </c>
      <c r="BD23">
        <v>300.38182892797857</v>
      </c>
      <c r="BE23">
        <v>306.70430160582549</v>
      </c>
      <c r="BF23">
        <v>313.02677428367252</v>
      </c>
      <c r="BG23">
        <v>319.34924696151938</v>
      </c>
      <c r="BH23">
        <v>325.67171963936642</v>
      </c>
      <c r="BI23">
        <v>331.99419231721328</v>
      </c>
      <c r="BJ23">
        <v>338.31666499506031</v>
      </c>
      <c r="BK23">
        <v>344.63913767290722</v>
      </c>
      <c r="BL23">
        <v>350.9616103507542</v>
      </c>
      <c r="BM23">
        <v>357.28408302860112</v>
      </c>
      <c r="BN23">
        <v>363.60655570644809</v>
      </c>
      <c r="BO23">
        <v>369.92902838429501</v>
      </c>
      <c r="BP23">
        <v>376.25150106214198</v>
      </c>
      <c r="BQ23">
        <v>382.57397373998901</v>
      </c>
      <c r="BR23">
        <v>388.89644641783588</v>
      </c>
      <c r="BS23">
        <v>395.21891909568279</v>
      </c>
      <c r="BT23">
        <v>401.54139177352982</v>
      </c>
    </row>
    <row r="24" spans="1:72" x14ac:dyDescent="0.25">
      <c r="A24" s="1">
        <f t="shared" si="2"/>
        <v>71.399999999999949</v>
      </c>
      <c r="B24">
        <v>-43.793802674730479</v>
      </c>
      <c r="C24">
        <v>-37.476219588221547</v>
      </c>
      <c r="D24">
        <v>-31.158636501712621</v>
      </c>
      <c r="E24">
        <v>-24.841053415203682</v>
      </c>
      <c r="F24">
        <v>-18.523470328694749</v>
      </c>
      <c r="G24">
        <v>-12.20588724218582</v>
      </c>
      <c r="H24">
        <v>-5.8883041556768818</v>
      </c>
      <c r="I24">
        <v>0.42927893083205221</v>
      </c>
      <c r="J24">
        <v>6.7468620173409857</v>
      </c>
      <c r="K24">
        <v>13.06444510384992</v>
      </c>
      <c r="L24">
        <v>19.382028190358849</v>
      </c>
      <c r="M24">
        <v>25.699611276867781</v>
      </c>
      <c r="N24">
        <v>32.017194363376717</v>
      </c>
      <c r="O24">
        <v>38.334777449885657</v>
      </c>
      <c r="P24">
        <v>44.652360536394589</v>
      </c>
      <c r="Q24">
        <v>50.969943622903521</v>
      </c>
      <c r="R24">
        <v>57.287526709412461</v>
      </c>
      <c r="S24">
        <v>63.605109795921379</v>
      </c>
      <c r="T24">
        <v>69.922692882430312</v>
      </c>
      <c r="U24">
        <v>76.240275968939258</v>
      </c>
      <c r="V24">
        <v>82.557859055448191</v>
      </c>
      <c r="W24">
        <v>88.875442141957123</v>
      </c>
      <c r="X24">
        <v>95.193025228466055</v>
      </c>
      <c r="Y24">
        <v>101.510608314975</v>
      </c>
      <c r="Z24">
        <v>107.82819140148391</v>
      </c>
      <c r="AA24">
        <v>114.1457744879929</v>
      </c>
      <c r="AB24">
        <v>120.4633575745018</v>
      </c>
      <c r="AC24">
        <v>126.7809406610107</v>
      </c>
      <c r="AD24">
        <v>133.09852374751961</v>
      </c>
      <c r="AE24">
        <v>139.4161068340286</v>
      </c>
      <c r="AF24">
        <v>145.7336899205375</v>
      </c>
      <c r="AG24">
        <v>152.05127300704649</v>
      </c>
      <c r="AH24">
        <v>158.36885609355539</v>
      </c>
      <c r="AI24">
        <v>164.6864391800643</v>
      </c>
      <c r="AJ24">
        <v>171.00402226657329</v>
      </c>
      <c r="AK24">
        <v>177.32160535308219</v>
      </c>
      <c r="AL24">
        <v>183.63918843959109</v>
      </c>
      <c r="AM24">
        <v>189.95677152610011</v>
      </c>
      <c r="AN24">
        <v>196.27435461260899</v>
      </c>
      <c r="AO24">
        <v>202.59193769911789</v>
      </c>
      <c r="AP24">
        <v>208.90952078562691</v>
      </c>
      <c r="AQ24">
        <v>215.22710387213581</v>
      </c>
      <c r="AR24">
        <v>221.54468695864469</v>
      </c>
      <c r="AS24">
        <v>227.86227004515359</v>
      </c>
      <c r="AT24">
        <v>234.17985313166261</v>
      </c>
      <c r="AU24">
        <v>240.49743621817149</v>
      </c>
      <c r="AV24">
        <v>246.81501930468039</v>
      </c>
      <c r="AW24">
        <v>253.13260239118941</v>
      </c>
      <c r="AX24">
        <v>259.45018547769831</v>
      </c>
      <c r="AY24">
        <v>265.76776856420719</v>
      </c>
      <c r="AZ24">
        <v>272.08535165071618</v>
      </c>
      <c r="BA24">
        <v>278.40293473722511</v>
      </c>
      <c r="BB24">
        <v>284.72051782373399</v>
      </c>
      <c r="BC24">
        <v>291.03810091024297</v>
      </c>
      <c r="BD24">
        <v>297.35568399675191</v>
      </c>
      <c r="BE24">
        <v>303.67326708326078</v>
      </c>
      <c r="BF24">
        <v>309.99085016976977</v>
      </c>
      <c r="BG24">
        <v>316.3084332562787</v>
      </c>
      <c r="BH24">
        <v>322.62601634278758</v>
      </c>
      <c r="BI24">
        <v>328.94359942929663</v>
      </c>
      <c r="BJ24">
        <v>335.2611825158055</v>
      </c>
      <c r="BK24">
        <v>341.57876560231438</v>
      </c>
      <c r="BL24">
        <v>347.89634868882342</v>
      </c>
      <c r="BM24">
        <v>354.2139317753323</v>
      </c>
      <c r="BN24">
        <v>360.53151486184117</v>
      </c>
      <c r="BO24">
        <v>366.84909794835022</v>
      </c>
      <c r="BP24">
        <v>373.1666810348591</v>
      </c>
      <c r="BQ24">
        <v>379.48426412136803</v>
      </c>
      <c r="BR24">
        <v>385.80184720787702</v>
      </c>
      <c r="BS24">
        <v>392.11943029438589</v>
      </c>
      <c r="BT24">
        <v>398.43701338089488</v>
      </c>
    </row>
    <row r="25" spans="1:72" x14ac:dyDescent="0.25">
      <c r="A25" s="1">
        <f t="shared" si="2"/>
        <v>73.199999999999946</v>
      </c>
      <c r="B25">
        <v>-46.551857963050352</v>
      </c>
      <c r="C25">
        <v>-40.239163814161557</v>
      </c>
      <c r="D25">
        <v>-33.926469665272769</v>
      </c>
      <c r="E25">
        <v>-27.613775516383981</v>
      </c>
      <c r="F25">
        <v>-21.3010813674952</v>
      </c>
      <c r="G25">
        <v>-14.988387218606411</v>
      </c>
      <c r="H25">
        <v>-8.6756930697176227</v>
      </c>
      <c r="I25">
        <v>-2.3629989208288351</v>
      </c>
      <c r="J25">
        <v>3.9496952280599542</v>
      </c>
      <c r="K25">
        <v>10.26238937694874</v>
      </c>
      <c r="L25">
        <v>16.575083525837531</v>
      </c>
      <c r="M25">
        <v>22.887777674726319</v>
      </c>
      <c r="N25">
        <v>29.200471823615111</v>
      </c>
      <c r="O25">
        <v>35.513165972503892</v>
      </c>
      <c r="P25">
        <v>41.82586012139268</v>
      </c>
      <c r="Q25">
        <v>48.138554270281467</v>
      </c>
      <c r="R25">
        <v>54.451248419170263</v>
      </c>
      <c r="S25">
        <v>60.763942568059043</v>
      </c>
      <c r="T25">
        <v>67.076636716947831</v>
      </c>
      <c r="U25">
        <v>73.389330865836612</v>
      </c>
      <c r="V25">
        <v>79.702025014725407</v>
      </c>
      <c r="W25">
        <v>86.014719163614188</v>
      </c>
      <c r="X25">
        <v>92.327413312502983</v>
      </c>
      <c r="Y25">
        <v>98.640107461391764</v>
      </c>
      <c r="Z25">
        <v>104.9528016102806</v>
      </c>
      <c r="AA25">
        <v>111.2654957591694</v>
      </c>
      <c r="AB25">
        <v>117.57818990805811</v>
      </c>
      <c r="AC25">
        <v>123.8908840569469</v>
      </c>
      <c r="AD25">
        <v>130.2035782058357</v>
      </c>
      <c r="AE25">
        <v>136.51627235472449</v>
      </c>
      <c r="AF25">
        <v>142.82896650361329</v>
      </c>
      <c r="AG25">
        <v>149.14166065250211</v>
      </c>
      <c r="AH25">
        <v>155.45435480139079</v>
      </c>
      <c r="AI25">
        <v>161.76704895027959</v>
      </c>
      <c r="AJ25">
        <v>168.07974309916841</v>
      </c>
      <c r="AK25">
        <v>174.39243724805721</v>
      </c>
      <c r="AL25">
        <v>180.705131396946</v>
      </c>
      <c r="AM25">
        <v>187.0178255458348</v>
      </c>
      <c r="AN25">
        <v>193.33051969472359</v>
      </c>
      <c r="AO25">
        <v>199.64321384361239</v>
      </c>
      <c r="AP25">
        <v>205.95590799250121</v>
      </c>
      <c r="AQ25">
        <v>212.26860214138989</v>
      </c>
      <c r="AR25">
        <v>218.58129629027869</v>
      </c>
      <c r="AS25">
        <v>224.89399043916751</v>
      </c>
      <c r="AT25">
        <v>231.20668458805631</v>
      </c>
      <c r="AU25">
        <v>237.5193787369451</v>
      </c>
      <c r="AV25">
        <v>243.8320728858339</v>
      </c>
      <c r="AW25">
        <v>250.14476703472269</v>
      </c>
      <c r="AX25">
        <v>256.45746118361137</v>
      </c>
      <c r="AY25">
        <v>262.77015533250022</v>
      </c>
      <c r="AZ25">
        <v>269.08284948138902</v>
      </c>
      <c r="BA25">
        <v>275.39554363027781</v>
      </c>
      <c r="BB25">
        <v>281.70823777916661</v>
      </c>
      <c r="BC25">
        <v>288.0209319280554</v>
      </c>
      <c r="BD25">
        <v>294.3336260769442</v>
      </c>
      <c r="BE25">
        <v>300.64632022583299</v>
      </c>
      <c r="BF25">
        <v>306.95901437472179</v>
      </c>
      <c r="BG25">
        <v>313.27170852361058</v>
      </c>
      <c r="BH25">
        <v>319.58440267249938</v>
      </c>
      <c r="BI25">
        <v>325.89709682138812</v>
      </c>
      <c r="BJ25">
        <v>332.20979097027691</v>
      </c>
      <c r="BK25">
        <v>338.52248511916571</v>
      </c>
      <c r="BL25">
        <v>344.8351792680545</v>
      </c>
      <c r="BM25">
        <v>351.14787341694318</v>
      </c>
      <c r="BN25">
        <v>357.46056756583198</v>
      </c>
      <c r="BO25">
        <v>363.77326171472077</v>
      </c>
      <c r="BP25">
        <v>370.08595586360963</v>
      </c>
      <c r="BQ25">
        <v>376.39865001249842</v>
      </c>
      <c r="BR25">
        <v>382.71134416138722</v>
      </c>
      <c r="BS25">
        <v>389.02403831027601</v>
      </c>
      <c r="BT25">
        <v>395.33673245916481</v>
      </c>
    </row>
    <row r="26" spans="1:72" x14ac:dyDescent="0.25">
      <c r="A26" s="1">
        <f t="shared" si="2"/>
        <v>74.999999999999943</v>
      </c>
      <c r="B26">
        <v>-49.305868075540253</v>
      </c>
      <c r="C26">
        <v>-42.998062300117468</v>
      </c>
      <c r="D26">
        <v>-36.690256524694682</v>
      </c>
      <c r="E26">
        <v>-30.382450749271889</v>
      </c>
      <c r="F26">
        <v>-24.0746449738491</v>
      </c>
      <c r="G26">
        <v>-17.766839198426322</v>
      </c>
      <c r="H26">
        <v>-11.459033423003531</v>
      </c>
      <c r="I26">
        <v>-5.1512276475807441</v>
      </c>
      <c r="J26">
        <v>1.1565781278420419</v>
      </c>
      <c r="K26">
        <v>7.4643839032648289</v>
      </c>
      <c r="L26">
        <v>13.772189678687621</v>
      </c>
      <c r="M26">
        <v>20.079995454110399</v>
      </c>
      <c r="N26">
        <v>26.387801229533189</v>
      </c>
      <c r="O26">
        <v>32.695607004955967</v>
      </c>
      <c r="P26">
        <v>39.00341278037876</v>
      </c>
      <c r="Q26">
        <v>45.311218555801553</v>
      </c>
      <c r="R26">
        <v>51.619024331224338</v>
      </c>
      <c r="S26">
        <v>57.926830106647117</v>
      </c>
      <c r="T26">
        <v>64.234635882069909</v>
      </c>
      <c r="U26">
        <v>70.542441657492688</v>
      </c>
      <c r="V26">
        <v>76.850247432915481</v>
      </c>
      <c r="W26">
        <v>83.158053208338274</v>
      </c>
      <c r="X26">
        <v>89.465858983761052</v>
      </c>
      <c r="Y26">
        <v>95.773664759183845</v>
      </c>
      <c r="Z26">
        <v>102.08147053460659</v>
      </c>
      <c r="AA26">
        <v>108.3892763100294</v>
      </c>
      <c r="AB26">
        <v>114.69708208545219</v>
      </c>
      <c r="AC26">
        <v>121.004887860875</v>
      </c>
      <c r="AD26">
        <v>127.31269363629779</v>
      </c>
      <c r="AE26">
        <v>133.6204994117206</v>
      </c>
      <c r="AF26">
        <v>139.92830518714331</v>
      </c>
      <c r="AG26">
        <v>146.2361109625661</v>
      </c>
      <c r="AH26">
        <v>152.54391673798889</v>
      </c>
      <c r="AI26">
        <v>158.85172251341169</v>
      </c>
      <c r="AJ26">
        <v>165.15952828883451</v>
      </c>
      <c r="AK26">
        <v>171.4673340642573</v>
      </c>
      <c r="AL26">
        <v>177.77513983968009</v>
      </c>
      <c r="AM26">
        <v>184.08294561510289</v>
      </c>
      <c r="AN26">
        <v>190.39075139052559</v>
      </c>
      <c r="AO26">
        <v>196.69855716594839</v>
      </c>
      <c r="AP26">
        <v>203.00636294137121</v>
      </c>
      <c r="AQ26">
        <v>209.314168716794</v>
      </c>
      <c r="AR26">
        <v>215.62197449221679</v>
      </c>
      <c r="AS26">
        <v>221.92978026763959</v>
      </c>
      <c r="AT26">
        <v>228.23758604306241</v>
      </c>
      <c r="AU26">
        <v>234.54539181848509</v>
      </c>
      <c r="AV26">
        <v>240.85319759390791</v>
      </c>
      <c r="AW26">
        <v>247.16100336933081</v>
      </c>
      <c r="AX26">
        <v>253.46880914475349</v>
      </c>
      <c r="AY26">
        <v>259.77661492017631</v>
      </c>
      <c r="AZ26">
        <v>266.08442069559908</v>
      </c>
      <c r="BA26">
        <v>272.3922264710219</v>
      </c>
      <c r="BB26">
        <v>278.70003224644472</v>
      </c>
      <c r="BC26">
        <v>285.00783802186743</v>
      </c>
      <c r="BD26">
        <v>291.31564379729019</v>
      </c>
      <c r="BE26">
        <v>297.62344957271301</v>
      </c>
      <c r="BF26">
        <v>303.93125534813578</v>
      </c>
      <c r="BG26">
        <v>310.2390611235586</v>
      </c>
      <c r="BH26">
        <v>316.54686689898142</v>
      </c>
      <c r="BI26">
        <v>322.85467267440418</v>
      </c>
      <c r="BJ26">
        <v>329.16247844982689</v>
      </c>
      <c r="BK26">
        <v>335.47028422524971</v>
      </c>
      <c r="BL26">
        <v>341.77809000067248</v>
      </c>
      <c r="BM26">
        <v>348.08589577609541</v>
      </c>
      <c r="BN26">
        <v>354.39370155151812</v>
      </c>
      <c r="BO26">
        <v>360.70150732694088</v>
      </c>
      <c r="BP26">
        <v>367.00931310236359</v>
      </c>
      <c r="BQ26">
        <v>373.31711887778653</v>
      </c>
      <c r="BR26">
        <v>379.62492465320918</v>
      </c>
      <c r="BS26">
        <v>385.93273042863211</v>
      </c>
      <c r="BT26">
        <v>392.24053620405482</v>
      </c>
    </row>
    <row r="27" spans="1:72" x14ac:dyDescent="0.25">
      <c r="A27" s="1">
        <f t="shared" si="2"/>
        <v>76.79999999999994</v>
      </c>
      <c r="B27">
        <v>-52.055839330946753</v>
      </c>
      <c r="C27">
        <v>-45.752921460557893</v>
      </c>
      <c r="D27">
        <v>-39.450003590169047</v>
      </c>
      <c r="E27">
        <v>-33.147085719780193</v>
      </c>
      <c r="F27">
        <v>-26.84416784939134</v>
      </c>
      <c r="G27">
        <v>-20.54124997900248</v>
      </c>
      <c r="H27">
        <v>-14.23833210861363</v>
      </c>
      <c r="I27">
        <v>-7.9354142382247774</v>
      </c>
      <c r="J27">
        <v>-1.632496367835925</v>
      </c>
      <c r="K27">
        <v>4.6704215025529274</v>
      </c>
      <c r="L27">
        <v>10.97333937294178</v>
      </c>
      <c r="M27">
        <v>17.27625724333063</v>
      </c>
      <c r="N27">
        <v>23.57917511371949</v>
      </c>
      <c r="O27">
        <v>29.88209298410834</v>
      </c>
      <c r="P27">
        <v>36.185010854497193</v>
      </c>
      <c r="Q27">
        <v>42.487928724886054</v>
      </c>
      <c r="R27">
        <v>48.7908465952749</v>
      </c>
      <c r="S27">
        <v>55.093764465663753</v>
      </c>
      <c r="T27">
        <v>61.396682336052592</v>
      </c>
      <c r="U27">
        <v>67.69960020644146</v>
      </c>
      <c r="V27">
        <v>74.002518076830313</v>
      </c>
      <c r="W27">
        <v>80.305435947219152</v>
      </c>
      <c r="X27">
        <v>86.60835381760802</v>
      </c>
      <c r="Y27">
        <v>92.911271687996859</v>
      </c>
      <c r="Z27">
        <v>99.214189558385712</v>
      </c>
      <c r="AA27">
        <v>105.51710742877459</v>
      </c>
      <c r="AB27">
        <v>111.8200252991634</v>
      </c>
      <c r="AC27">
        <v>118.1229431695523</v>
      </c>
      <c r="AD27">
        <v>124.4258610399411</v>
      </c>
      <c r="AE27">
        <v>130.72877891032999</v>
      </c>
      <c r="AF27">
        <v>137.03169678071879</v>
      </c>
      <c r="AG27">
        <v>143.3346146511077</v>
      </c>
      <c r="AH27">
        <v>149.63753252149661</v>
      </c>
      <c r="AI27">
        <v>155.94045039188541</v>
      </c>
      <c r="AJ27">
        <v>162.2433682622742</v>
      </c>
      <c r="AK27">
        <v>168.54628613266311</v>
      </c>
      <c r="AL27">
        <v>174.84920400305199</v>
      </c>
      <c r="AM27">
        <v>181.15212187344079</v>
      </c>
      <c r="AN27">
        <v>187.45503974382959</v>
      </c>
      <c r="AO27">
        <v>193.7579576142185</v>
      </c>
      <c r="AP27">
        <v>200.06087548460741</v>
      </c>
      <c r="AQ27">
        <v>206.3637933549962</v>
      </c>
      <c r="AR27">
        <v>212.66671122538509</v>
      </c>
      <c r="AS27">
        <v>218.96962909577391</v>
      </c>
      <c r="AT27">
        <v>225.27254696616279</v>
      </c>
      <c r="AU27">
        <v>231.57546483655159</v>
      </c>
      <c r="AV27">
        <v>237.8783827069405</v>
      </c>
      <c r="AW27">
        <v>244.1813005773293</v>
      </c>
      <c r="AX27">
        <v>250.48421844771809</v>
      </c>
      <c r="AY27">
        <v>256.787136318107</v>
      </c>
      <c r="AZ27">
        <v>263.09005418849591</v>
      </c>
      <c r="BA27">
        <v>269.39297205888471</v>
      </c>
      <c r="BB27">
        <v>275.69588992927362</v>
      </c>
      <c r="BC27">
        <v>281.99880779966247</v>
      </c>
      <c r="BD27">
        <v>288.30172567005133</v>
      </c>
      <c r="BE27">
        <v>294.60464354044012</v>
      </c>
      <c r="BF27">
        <v>300.90756141082898</v>
      </c>
      <c r="BG27">
        <v>307.21047928121777</v>
      </c>
      <c r="BH27">
        <v>313.51339715160668</v>
      </c>
      <c r="BI27">
        <v>319.81631502199548</v>
      </c>
      <c r="BJ27">
        <v>326.11923289238439</v>
      </c>
      <c r="BK27">
        <v>332.4221507627733</v>
      </c>
      <c r="BL27">
        <v>338.7250686331621</v>
      </c>
      <c r="BM27">
        <v>345.02798650355089</v>
      </c>
      <c r="BN27">
        <v>351.33090437393992</v>
      </c>
      <c r="BO27">
        <v>357.63382224432871</v>
      </c>
      <c r="BP27">
        <v>363.93674011471751</v>
      </c>
      <c r="BQ27">
        <v>370.23965798510642</v>
      </c>
      <c r="BR27">
        <v>376.54257585549522</v>
      </c>
      <c r="BS27">
        <v>382.84549372588413</v>
      </c>
      <c r="BT27">
        <v>389.14841159627292</v>
      </c>
    </row>
    <row r="28" spans="1:72" x14ac:dyDescent="0.25">
      <c r="A28" s="1">
        <f t="shared" si="2"/>
        <v>78.599999999999937</v>
      </c>
      <c r="B28">
        <v>-54.801777815824693</v>
      </c>
      <c r="C28">
        <v>-48.503747484196083</v>
      </c>
      <c r="D28">
        <v>-42.205717152567473</v>
      </c>
      <c r="E28">
        <v>-35.907686820938871</v>
      </c>
      <c r="F28">
        <v>-29.609656489310261</v>
      </c>
      <c r="G28">
        <v>-23.311626157681651</v>
      </c>
      <c r="H28">
        <v>-17.013595826053049</v>
      </c>
      <c r="I28">
        <v>-10.715565494424441</v>
      </c>
      <c r="J28">
        <v>-4.4175351627958346</v>
      </c>
      <c r="K28">
        <v>1.880495168832772</v>
      </c>
      <c r="L28">
        <v>8.1785255004613795</v>
      </c>
      <c r="M28">
        <v>14.476555832089989</v>
      </c>
      <c r="N28">
        <v>20.774586163718588</v>
      </c>
      <c r="O28">
        <v>27.072616495347201</v>
      </c>
      <c r="P28">
        <v>33.370646826975808</v>
      </c>
      <c r="Q28">
        <v>39.66867715860441</v>
      </c>
      <c r="R28">
        <v>45.96670749023302</v>
      </c>
      <c r="S28">
        <v>52.264737821861623</v>
      </c>
      <c r="T28">
        <v>58.562768153490239</v>
      </c>
      <c r="U28">
        <v>64.860798485118849</v>
      </c>
      <c r="V28">
        <v>71.158828816747445</v>
      </c>
      <c r="W28">
        <v>77.456859148376054</v>
      </c>
      <c r="X28">
        <v>83.75488948000465</v>
      </c>
      <c r="Y28">
        <v>90.052919811633259</v>
      </c>
      <c r="Z28">
        <v>96.350950143261869</v>
      </c>
      <c r="AA28">
        <v>102.64898047489049</v>
      </c>
      <c r="AB28">
        <v>108.9470108065191</v>
      </c>
      <c r="AC28">
        <v>115.2450411381477</v>
      </c>
      <c r="AD28">
        <v>121.54307146977629</v>
      </c>
      <c r="AE28">
        <v>127.8411018014049</v>
      </c>
      <c r="AF28">
        <v>134.13913213303351</v>
      </c>
      <c r="AG28">
        <v>140.43716246466209</v>
      </c>
      <c r="AH28">
        <v>146.7351927962907</v>
      </c>
      <c r="AI28">
        <v>153.03322312791931</v>
      </c>
      <c r="AJ28">
        <v>159.33125345954801</v>
      </c>
      <c r="AK28">
        <v>165.6292837911765</v>
      </c>
      <c r="AL28">
        <v>171.9273141228052</v>
      </c>
      <c r="AM28">
        <v>178.22534445443381</v>
      </c>
      <c r="AN28">
        <v>184.52337478606239</v>
      </c>
      <c r="AO28">
        <v>190.821405117691</v>
      </c>
      <c r="AP28">
        <v>197.11943544931961</v>
      </c>
      <c r="AQ28">
        <v>203.41746578094819</v>
      </c>
      <c r="AR28">
        <v>209.7154961125768</v>
      </c>
      <c r="AS28">
        <v>216.01352644420541</v>
      </c>
      <c r="AT28">
        <v>222.31155677583399</v>
      </c>
      <c r="AU28">
        <v>228.6095871074626</v>
      </c>
      <c r="AV28">
        <v>234.90761743909121</v>
      </c>
      <c r="AW28">
        <v>241.20564777071979</v>
      </c>
      <c r="AX28">
        <v>247.50367810234849</v>
      </c>
      <c r="AY28">
        <v>253.8017084339771</v>
      </c>
      <c r="AZ28">
        <v>260.09973876560571</v>
      </c>
      <c r="BA28">
        <v>266.39776909723417</v>
      </c>
      <c r="BB28">
        <v>272.69579942886293</v>
      </c>
      <c r="BC28">
        <v>278.99382976049151</v>
      </c>
      <c r="BD28">
        <v>285.29186009212009</v>
      </c>
      <c r="BE28">
        <v>291.58989042374873</v>
      </c>
      <c r="BF28">
        <v>297.88792075537731</v>
      </c>
      <c r="BG28">
        <v>304.18595108700589</v>
      </c>
      <c r="BH28">
        <v>310.48398141863453</v>
      </c>
      <c r="BI28">
        <v>316.78201175026311</v>
      </c>
      <c r="BJ28">
        <v>323.08004208189169</v>
      </c>
      <c r="BK28">
        <v>329.37807241352027</v>
      </c>
      <c r="BL28">
        <v>335.67610274514902</v>
      </c>
      <c r="BM28">
        <v>341.97413307677749</v>
      </c>
      <c r="BN28">
        <v>348.27216340840607</v>
      </c>
      <c r="BO28">
        <v>354.57019374003471</v>
      </c>
      <c r="BP28">
        <v>360.86822407166341</v>
      </c>
      <c r="BQ28">
        <v>367.16625440329199</v>
      </c>
      <c r="BR28">
        <v>373.46428473492062</v>
      </c>
      <c r="BS28">
        <v>379.76231506654909</v>
      </c>
      <c r="BT28">
        <v>386.06034539817779</v>
      </c>
    </row>
    <row r="29" spans="1:72" x14ac:dyDescent="0.25">
      <c r="A29" s="1">
        <f t="shared" si="2"/>
        <v>80.399999999999935</v>
      </c>
      <c r="B29">
        <v>-57.543689367896881</v>
      </c>
      <c r="C29">
        <v>-51.250546317600829</v>
      </c>
      <c r="D29">
        <v>-44.95740326730477</v>
      </c>
      <c r="E29">
        <v>-38.66426021700871</v>
      </c>
      <c r="F29">
        <v>-32.371117166712658</v>
      </c>
      <c r="G29">
        <v>-26.077974116416598</v>
      </c>
      <c r="H29">
        <v>-19.784831066120539</v>
      </c>
      <c r="I29">
        <v>-13.49168801582449</v>
      </c>
      <c r="J29">
        <v>-7.1985449655284306</v>
      </c>
      <c r="K29">
        <v>-0.9054019152323749</v>
      </c>
      <c r="L29">
        <v>5.3877411350636812</v>
      </c>
      <c r="M29">
        <v>11.680884185359741</v>
      </c>
      <c r="N29">
        <v>17.9740272356558</v>
      </c>
      <c r="O29">
        <v>24.267170285951849</v>
      </c>
      <c r="P29">
        <v>30.560313336247908</v>
      </c>
      <c r="Q29">
        <v>36.853456386543968</v>
      </c>
      <c r="R29">
        <v>43.14659943684002</v>
      </c>
      <c r="S29">
        <v>49.439742487136073</v>
      </c>
      <c r="T29">
        <v>55.732885537432132</v>
      </c>
      <c r="U29">
        <v>62.026028587728192</v>
      </c>
      <c r="V29">
        <v>68.319171638024244</v>
      </c>
      <c r="W29">
        <v>74.612314688320296</v>
      </c>
      <c r="X29">
        <v>80.905457738616363</v>
      </c>
      <c r="Y29">
        <v>87.198600788912415</v>
      </c>
      <c r="Z29">
        <v>93.491743839208482</v>
      </c>
      <c r="AA29">
        <v>99.78488688950452</v>
      </c>
      <c r="AB29">
        <v>106.0780299398006</v>
      </c>
      <c r="AC29">
        <v>112.3711729900966</v>
      </c>
      <c r="AD29">
        <v>118.66431604039271</v>
      </c>
      <c r="AE29">
        <v>124.9574590906887</v>
      </c>
      <c r="AF29">
        <v>131.2506021409848</v>
      </c>
      <c r="AG29">
        <v>137.54374519128089</v>
      </c>
      <c r="AH29">
        <v>143.8368882415769</v>
      </c>
      <c r="AI29">
        <v>150.130031291873</v>
      </c>
      <c r="AJ29">
        <v>156.42317434216901</v>
      </c>
      <c r="AK29">
        <v>162.7163173924651</v>
      </c>
      <c r="AL29">
        <v>169.00946044276111</v>
      </c>
      <c r="AM29">
        <v>175.30260349305721</v>
      </c>
      <c r="AN29">
        <v>181.5957465433533</v>
      </c>
      <c r="AO29">
        <v>187.88888959364931</v>
      </c>
      <c r="AP29">
        <v>194.1820326439454</v>
      </c>
      <c r="AQ29">
        <v>200.47517569424139</v>
      </c>
      <c r="AR29">
        <v>206.76831874453751</v>
      </c>
      <c r="AS29">
        <v>213.06146179483349</v>
      </c>
      <c r="AT29">
        <v>219.35460484512959</v>
      </c>
      <c r="AU29">
        <v>225.64774789542571</v>
      </c>
      <c r="AV29">
        <v>231.94089094572169</v>
      </c>
      <c r="AW29">
        <v>238.23403399601781</v>
      </c>
      <c r="AX29">
        <v>244.5271770463138</v>
      </c>
      <c r="AY29">
        <v>250.82032009660989</v>
      </c>
      <c r="AZ29">
        <v>257.11346314690587</v>
      </c>
      <c r="BA29">
        <v>263.406606197202</v>
      </c>
      <c r="BB29">
        <v>269.69974924749812</v>
      </c>
      <c r="BC29">
        <v>275.99289229779413</v>
      </c>
      <c r="BD29">
        <v>282.28603534809008</v>
      </c>
      <c r="BE29">
        <v>288.5791783983862</v>
      </c>
      <c r="BF29">
        <v>294.87232144868233</v>
      </c>
      <c r="BG29">
        <v>301.16546449897828</v>
      </c>
      <c r="BH29">
        <v>307.4586075492744</v>
      </c>
      <c r="BI29">
        <v>313.75175059957041</v>
      </c>
      <c r="BJ29">
        <v>320.04489364986648</v>
      </c>
      <c r="BK29">
        <v>326.33803670016249</v>
      </c>
      <c r="BL29">
        <v>332.63117975045861</v>
      </c>
      <c r="BM29">
        <v>338.92432280075468</v>
      </c>
      <c r="BN29">
        <v>345.21746585105069</v>
      </c>
      <c r="BO29">
        <v>351.51060890134681</v>
      </c>
      <c r="BP29">
        <v>357.80375195164282</v>
      </c>
      <c r="BQ29">
        <v>364.09689500193889</v>
      </c>
      <c r="BR29">
        <v>370.39003805223501</v>
      </c>
      <c r="BS29">
        <v>376.68318110253102</v>
      </c>
      <c r="BT29">
        <v>382.97632415282698</v>
      </c>
    </row>
    <row r="30" spans="1:72" x14ac:dyDescent="0.25">
      <c r="A30" s="1">
        <f t="shared" si="2"/>
        <v>82.199999999999932</v>
      </c>
      <c r="B30">
        <v>-60.281579558973277</v>
      </c>
      <c r="C30">
        <v>-53.99332364834023</v>
      </c>
      <c r="D30">
        <v>-47.705067737707182</v>
      </c>
      <c r="E30">
        <v>-41.41681182707412</v>
      </c>
      <c r="F30">
        <v>-35.128555916441073</v>
      </c>
      <c r="G30">
        <v>-28.840300005808011</v>
      </c>
      <c r="H30">
        <v>-22.55204409517496</v>
      </c>
      <c r="I30">
        <v>-16.263788184541909</v>
      </c>
      <c r="J30">
        <v>-9.9755322739088523</v>
      </c>
      <c r="K30">
        <v>-3.6872763632757981</v>
      </c>
      <c r="L30">
        <v>2.6009795473572561</v>
      </c>
      <c r="M30">
        <v>8.8892354579903099</v>
      </c>
      <c r="N30">
        <v>15.177491368623359</v>
      </c>
      <c r="O30">
        <v>21.465747279256419</v>
      </c>
      <c r="P30">
        <v>27.75400318988947</v>
      </c>
      <c r="Q30">
        <v>34.042259100522529</v>
      </c>
      <c r="R30">
        <v>40.330515011155583</v>
      </c>
      <c r="S30">
        <v>46.618770921788631</v>
      </c>
      <c r="T30">
        <v>52.907026832421693</v>
      </c>
      <c r="U30">
        <v>59.195282743054733</v>
      </c>
      <c r="V30">
        <v>65.483538653687788</v>
      </c>
      <c r="W30">
        <v>71.771794564320842</v>
      </c>
      <c r="X30">
        <v>78.060050474953897</v>
      </c>
      <c r="Y30">
        <v>84.348306385586966</v>
      </c>
      <c r="Z30">
        <v>90.636562296220006</v>
      </c>
      <c r="AA30">
        <v>96.924818206853061</v>
      </c>
      <c r="AB30">
        <v>103.2130741174861</v>
      </c>
      <c r="AC30">
        <v>109.5013300281192</v>
      </c>
      <c r="AD30">
        <v>115.7895859387522</v>
      </c>
      <c r="AE30">
        <v>122.07784184938529</v>
      </c>
      <c r="AF30">
        <v>128.36609776001831</v>
      </c>
      <c r="AG30">
        <v>134.6543536706514</v>
      </c>
      <c r="AH30">
        <v>140.94260958128439</v>
      </c>
      <c r="AI30">
        <v>147.23086549191751</v>
      </c>
      <c r="AJ30">
        <v>153.51912140255061</v>
      </c>
      <c r="AK30">
        <v>159.80737731318359</v>
      </c>
      <c r="AL30">
        <v>166.09563322381669</v>
      </c>
      <c r="AM30">
        <v>172.3838891344497</v>
      </c>
      <c r="AN30">
        <v>178.6721450450828</v>
      </c>
      <c r="AO30">
        <v>184.96040095571581</v>
      </c>
      <c r="AP30">
        <v>191.24865686634891</v>
      </c>
      <c r="AQ30">
        <v>197.53691277698189</v>
      </c>
      <c r="AR30">
        <v>203.82516868761499</v>
      </c>
      <c r="AS30">
        <v>210.113424598248</v>
      </c>
      <c r="AT30">
        <v>216.4016805088811</v>
      </c>
      <c r="AU30">
        <v>222.68993641951411</v>
      </c>
      <c r="AV30">
        <v>228.97819233014721</v>
      </c>
      <c r="AW30">
        <v>235.26644824078019</v>
      </c>
      <c r="AX30">
        <v>241.55470415141329</v>
      </c>
      <c r="AY30">
        <v>247.84296006204639</v>
      </c>
      <c r="AZ30">
        <v>254.1312159726794</v>
      </c>
      <c r="BA30">
        <v>260.41947188331238</v>
      </c>
      <c r="BB30">
        <v>266.70772779394548</v>
      </c>
      <c r="BC30">
        <v>272.99598370457858</v>
      </c>
      <c r="BD30">
        <v>279.28423961521162</v>
      </c>
      <c r="BE30">
        <v>285.57249552584472</v>
      </c>
      <c r="BF30">
        <v>291.8607514364777</v>
      </c>
      <c r="BG30">
        <v>298.1490073471108</v>
      </c>
      <c r="BH30">
        <v>304.43726325774378</v>
      </c>
      <c r="BI30">
        <v>310.72551916837688</v>
      </c>
      <c r="BJ30">
        <v>317.01377507900992</v>
      </c>
      <c r="BK30">
        <v>323.30203098964301</v>
      </c>
      <c r="BL30">
        <v>329.59028690027611</v>
      </c>
      <c r="BM30">
        <v>335.8785428109091</v>
      </c>
      <c r="BN30">
        <v>342.16679872154208</v>
      </c>
      <c r="BO30">
        <v>348.45505463217518</v>
      </c>
      <c r="BP30">
        <v>354.74331054280827</v>
      </c>
      <c r="BQ30">
        <v>361.03156645344131</v>
      </c>
      <c r="BR30">
        <v>367.31982236407441</v>
      </c>
      <c r="BS30">
        <v>373.60807827470751</v>
      </c>
      <c r="BT30">
        <v>379.89633418534049</v>
      </c>
    </row>
    <row r="31" spans="1:72" x14ac:dyDescent="0.25">
      <c r="A31" s="1">
        <f t="shared" si="2"/>
        <v>83.999999999999929</v>
      </c>
      <c r="B31">
        <v>-63.015453677511552</v>
      </c>
      <c r="C31">
        <v>-56.7320848877401</v>
      </c>
      <c r="D31">
        <v>-50.448716097968649</v>
      </c>
      <c r="E31">
        <v>-44.165347308197198</v>
      </c>
      <c r="F31">
        <v>-37.881978518425747</v>
      </c>
      <c r="G31">
        <v>-31.598609728654299</v>
      </c>
      <c r="H31">
        <v>-25.315240938882841</v>
      </c>
      <c r="I31">
        <v>-19.03187214911139</v>
      </c>
      <c r="J31">
        <v>-12.74850335933994</v>
      </c>
      <c r="K31">
        <v>-6.4651345695684874</v>
      </c>
      <c r="L31">
        <v>-0.18176577979703601</v>
      </c>
      <c r="M31">
        <v>6.1016030099744158</v>
      </c>
      <c r="N31">
        <v>12.38497179974587</v>
      </c>
      <c r="O31">
        <v>18.668340589517321</v>
      </c>
      <c r="P31">
        <v>24.951709379288769</v>
      </c>
      <c r="Q31">
        <v>31.23507816906022</v>
      </c>
      <c r="R31">
        <v>37.518446958831667</v>
      </c>
      <c r="S31">
        <v>43.801815748603133</v>
      </c>
      <c r="T31">
        <v>50.085184538374577</v>
      </c>
      <c r="U31">
        <v>56.368553328146028</v>
      </c>
      <c r="V31">
        <v>62.651922117917479</v>
      </c>
      <c r="W31">
        <v>68.935290907688938</v>
      </c>
      <c r="X31">
        <v>75.218659697460382</v>
      </c>
      <c r="Y31">
        <v>81.502028487231826</v>
      </c>
      <c r="Z31">
        <v>87.785397277003298</v>
      </c>
      <c r="AA31">
        <v>94.068766066774742</v>
      </c>
      <c r="AB31">
        <v>100.3521348565462</v>
      </c>
      <c r="AC31">
        <v>106.6355036463176</v>
      </c>
      <c r="AD31">
        <v>112.9188724360891</v>
      </c>
      <c r="AE31">
        <v>119.2022412258605</v>
      </c>
      <c r="AF31">
        <v>125.48561001563201</v>
      </c>
      <c r="AG31">
        <v>131.76897880540349</v>
      </c>
      <c r="AH31">
        <v>138.05234759517489</v>
      </c>
      <c r="AI31">
        <v>144.33571638494641</v>
      </c>
      <c r="AJ31">
        <v>150.61908517471781</v>
      </c>
      <c r="AK31">
        <v>156.90245396448921</v>
      </c>
      <c r="AL31">
        <v>163.1858227542607</v>
      </c>
      <c r="AM31">
        <v>169.46919154403221</v>
      </c>
      <c r="AN31">
        <v>175.75256033380359</v>
      </c>
      <c r="AO31">
        <v>182.0359291235751</v>
      </c>
      <c r="AP31">
        <v>188.3192979133465</v>
      </c>
      <c r="AQ31">
        <v>194.60266670311799</v>
      </c>
      <c r="AR31">
        <v>200.88603549288939</v>
      </c>
      <c r="AS31">
        <v>207.16940428266079</v>
      </c>
      <c r="AT31">
        <v>213.45277307243231</v>
      </c>
      <c r="AU31">
        <v>219.73614186220371</v>
      </c>
      <c r="AV31">
        <v>226.0195106519752</v>
      </c>
      <c r="AW31">
        <v>232.3028794417466</v>
      </c>
      <c r="AX31">
        <v>238.58624823151811</v>
      </c>
      <c r="AY31">
        <v>244.8696170212896</v>
      </c>
      <c r="AZ31">
        <v>251.152985811061</v>
      </c>
      <c r="BA31">
        <v>257.43635460083249</v>
      </c>
      <c r="BB31">
        <v>263.71972339060392</v>
      </c>
      <c r="BC31">
        <v>270.00309218037529</v>
      </c>
      <c r="BD31">
        <v>276.28646097014678</v>
      </c>
      <c r="BE31">
        <v>282.56982975991832</v>
      </c>
      <c r="BF31">
        <v>288.85319854968969</v>
      </c>
      <c r="BG31">
        <v>295.13656733946118</v>
      </c>
      <c r="BH31">
        <v>301.41993612923261</v>
      </c>
      <c r="BI31">
        <v>307.70330491900398</v>
      </c>
      <c r="BJ31">
        <v>313.98667370877553</v>
      </c>
      <c r="BK31">
        <v>320.27004249854701</v>
      </c>
      <c r="BL31">
        <v>326.55341128831839</v>
      </c>
      <c r="BM31">
        <v>332.83678007808987</v>
      </c>
      <c r="BN31">
        <v>339.12014886786142</v>
      </c>
      <c r="BO31">
        <v>345.40351765763279</v>
      </c>
      <c r="BP31">
        <v>351.68688644740422</v>
      </c>
      <c r="BQ31">
        <v>357.97025523717559</v>
      </c>
      <c r="BR31">
        <v>364.25362402694708</v>
      </c>
      <c r="BS31">
        <v>370.53699281671862</v>
      </c>
      <c r="BT31">
        <v>376.82036160649</v>
      </c>
    </row>
    <row r="32" spans="1:72" x14ac:dyDescent="0.25">
      <c r="A32" s="1">
        <f t="shared" si="2"/>
        <v>85.799999999999926</v>
      </c>
      <c r="B32">
        <v>-65.745316710899644</v>
      </c>
      <c r="C32">
        <v>-59.466835153337946</v>
      </c>
      <c r="D32">
        <v>-53.18835359577627</v>
      </c>
      <c r="E32">
        <v>-46.909872038214587</v>
      </c>
      <c r="F32">
        <v>-40.631390480652897</v>
      </c>
      <c r="G32">
        <v>-34.352908923091213</v>
      </c>
      <c r="H32">
        <v>-28.07442736552953</v>
      </c>
      <c r="I32">
        <v>-21.79594580796784</v>
      </c>
      <c r="J32">
        <v>-15.51746425040616</v>
      </c>
      <c r="K32">
        <v>-9.2389826928444769</v>
      </c>
      <c r="L32">
        <v>-2.960501135282791</v>
      </c>
      <c r="M32">
        <v>3.317980422278894</v>
      </c>
      <c r="N32">
        <v>9.5964619798405799</v>
      </c>
      <c r="O32">
        <v>15.87494353740226</v>
      </c>
      <c r="P32">
        <v>22.15342509496395</v>
      </c>
      <c r="Q32">
        <v>28.43190665252563</v>
      </c>
      <c r="R32">
        <v>34.710388210087316</v>
      </c>
      <c r="S32">
        <v>40.988869767649</v>
      </c>
      <c r="T32">
        <v>47.267351325210683</v>
      </c>
      <c r="U32">
        <v>53.545832882772373</v>
      </c>
      <c r="V32">
        <v>59.824314440334049</v>
      </c>
      <c r="W32">
        <v>66.10279599789574</v>
      </c>
      <c r="X32">
        <v>72.381277555457416</v>
      </c>
      <c r="Y32">
        <v>78.659759113019106</v>
      </c>
      <c r="Z32">
        <v>84.938240670580797</v>
      </c>
      <c r="AA32">
        <v>91.216722228142473</v>
      </c>
      <c r="AB32">
        <v>97.495203785704163</v>
      </c>
      <c r="AC32">
        <v>103.7736853432659</v>
      </c>
      <c r="AD32">
        <v>110.0521669008275</v>
      </c>
      <c r="AE32">
        <v>116.33064845838921</v>
      </c>
      <c r="AF32">
        <v>122.6091300159509</v>
      </c>
      <c r="AG32">
        <v>128.8876115735126</v>
      </c>
      <c r="AH32">
        <v>135.16609313107429</v>
      </c>
      <c r="AI32">
        <v>141.44457468863601</v>
      </c>
      <c r="AJ32">
        <v>147.72305624619759</v>
      </c>
      <c r="AK32">
        <v>154.00153780375931</v>
      </c>
      <c r="AL32">
        <v>160.280019361321</v>
      </c>
      <c r="AM32">
        <v>166.55850091888269</v>
      </c>
      <c r="AN32">
        <v>172.8369824764444</v>
      </c>
      <c r="AO32">
        <v>179.1154640340061</v>
      </c>
      <c r="AP32">
        <v>185.39394559156781</v>
      </c>
      <c r="AQ32">
        <v>191.67242714912939</v>
      </c>
      <c r="AR32">
        <v>197.95090870669111</v>
      </c>
      <c r="AS32">
        <v>204.2293902642528</v>
      </c>
      <c r="AT32">
        <v>210.50787182181449</v>
      </c>
      <c r="AU32">
        <v>216.78635337937621</v>
      </c>
      <c r="AV32">
        <v>223.0648349369379</v>
      </c>
      <c r="AW32">
        <v>229.3433164944995</v>
      </c>
      <c r="AX32">
        <v>235.62179805206131</v>
      </c>
      <c r="AY32">
        <v>241.90027960962291</v>
      </c>
      <c r="AZ32">
        <v>248.1787611671846</v>
      </c>
      <c r="BA32">
        <v>254.45724272474629</v>
      </c>
      <c r="BB32">
        <v>260.73572428230801</v>
      </c>
      <c r="BC32">
        <v>267.01420583986959</v>
      </c>
      <c r="BD32">
        <v>273.29268739743128</v>
      </c>
      <c r="BE32">
        <v>279.57116895499303</v>
      </c>
      <c r="BF32">
        <v>285.84965051255472</v>
      </c>
      <c r="BG32">
        <v>292.12813207011641</v>
      </c>
      <c r="BH32">
        <v>298.4066136276781</v>
      </c>
      <c r="BI32">
        <v>304.68509518523979</v>
      </c>
      <c r="BJ32">
        <v>310.96357674280142</v>
      </c>
      <c r="BK32">
        <v>317.24205830036323</v>
      </c>
      <c r="BL32">
        <v>323.5205398579248</v>
      </c>
      <c r="BM32">
        <v>329.79902141548649</v>
      </c>
      <c r="BN32">
        <v>336.07750297304818</v>
      </c>
      <c r="BO32">
        <v>342.35598453060987</v>
      </c>
      <c r="BP32">
        <v>348.63446608817162</v>
      </c>
      <c r="BQ32">
        <v>354.91294764573331</v>
      </c>
      <c r="BR32">
        <v>361.19142920329489</v>
      </c>
      <c r="BS32">
        <v>367.46991076085658</v>
      </c>
      <c r="BT32">
        <v>373.74839231841833</v>
      </c>
    </row>
    <row r="33" spans="1:72" x14ac:dyDescent="0.25">
      <c r="A33" s="1">
        <f t="shared" si="2"/>
        <v>87.599999999999923</v>
      </c>
      <c r="B33">
        <v>-68.471173327536803</v>
      </c>
      <c r="C33">
        <v>-62.197579251109516</v>
      </c>
      <c r="D33">
        <v>-55.923985174682223</v>
      </c>
      <c r="E33">
        <v>-49.650391098254943</v>
      </c>
      <c r="F33">
        <v>-43.376797021827649</v>
      </c>
      <c r="G33">
        <v>-37.103202945400348</v>
      </c>
      <c r="H33">
        <v>-30.829608868973061</v>
      </c>
      <c r="I33">
        <v>-24.556014792545771</v>
      </c>
      <c r="J33">
        <v>-18.28242071611848</v>
      </c>
      <c r="K33">
        <v>-12.00882663969119</v>
      </c>
      <c r="L33">
        <v>-5.7352325632639038</v>
      </c>
      <c r="M33">
        <v>0.53836151316338643</v>
      </c>
      <c r="N33">
        <v>6.8119555895906769</v>
      </c>
      <c r="O33">
        <v>13.08554966601797</v>
      </c>
      <c r="P33">
        <v>19.359143742445259</v>
      </c>
      <c r="Q33">
        <v>25.632737818872549</v>
      </c>
      <c r="R33">
        <v>31.906331895299839</v>
      </c>
      <c r="S33">
        <v>38.179925971727123</v>
      </c>
      <c r="T33">
        <v>44.453520048154417</v>
      </c>
      <c r="U33">
        <v>50.727114124581703</v>
      </c>
      <c r="V33">
        <v>57.00070820100899</v>
      </c>
      <c r="W33">
        <v>63.274302277436291</v>
      </c>
      <c r="X33">
        <v>69.547896353863578</v>
      </c>
      <c r="Y33">
        <v>75.821490430290865</v>
      </c>
      <c r="Z33">
        <v>82.095084506718166</v>
      </c>
      <c r="AA33">
        <v>88.368678583145453</v>
      </c>
      <c r="AB33">
        <v>94.64227265957274</v>
      </c>
      <c r="AC33">
        <v>100.915866736</v>
      </c>
      <c r="AD33">
        <v>107.1894608124273</v>
      </c>
      <c r="AE33">
        <v>113.4630548888546</v>
      </c>
      <c r="AF33">
        <v>119.7366489652819</v>
      </c>
      <c r="AG33">
        <v>126.0102430417092</v>
      </c>
      <c r="AH33">
        <v>132.28383711813649</v>
      </c>
      <c r="AI33">
        <v>138.5574311945638</v>
      </c>
      <c r="AJ33">
        <v>144.83102527099109</v>
      </c>
      <c r="AK33">
        <v>151.10461934741829</v>
      </c>
      <c r="AL33">
        <v>157.37821342384561</v>
      </c>
      <c r="AM33">
        <v>163.65180750027289</v>
      </c>
      <c r="AN33">
        <v>169.92540157670021</v>
      </c>
      <c r="AO33">
        <v>176.1989956531275</v>
      </c>
      <c r="AP33">
        <v>182.47258972955481</v>
      </c>
      <c r="AQ33">
        <v>188.7461838059821</v>
      </c>
      <c r="AR33">
        <v>195.01977788240939</v>
      </c>
      <c r="AS33">
        <v>201.2933719588367</v>
      </c>
      <c r="AT33">
        <v>207.56696603526399</v>
      </c>
      <c r="AU33">
        <v>213.84056011169119</v>
      </c>
      <c r="AV33">
        <v>220.1141541881185</v>
      </c>
      <c r="AW33">
        <v>226.38774826454579</v>
      </c>
      <c r="AX33">
        <v>232.66134234097311</v>
      </c>
      <c r="AY33">
        <v>238.93493641740039</v>
      </c>
      <c r="AZ33">
        <v>245.20853049382771</v>
      </c>
      <c r="BA33">
        <v>251.482124570255</v>
      </c>
      <c r="BB33">
        <v>257.75571864668228</v>
      </c>
      <c r="BC33">
        <v>264.02931272310963</v>
      </c>
      <c r="BD33">
        <v>270.30290679953691</v>
      </c>
      <c r="BE33">
        <v>276.57650087596409</v>
      </c>
      <c r="BF33">
        <v>282.85009495239149</v>
      </c>
      <c r="BG33">
        <v>289.12368902881872</v>
      </c>
      <c r="BH33">
        <v>295.397283105246</v>
      </c>
      <c r="BI33">
        <v>301.67087718167329</v>
      </c>
      <c r="BJ33">
        <v>307.94447125810058</v>
      </c>
      <c r="BK33">
        <v>314.21806533452792</v>
      </c>
      <c r="BL33">
        <v>320.49165941095521</v>
      </c>
      <c r="BM33">
        <v>326.76525348738249</v>
      </c>
      <c r="BN33">
        <v>333.03884756380978</v>
      </c>
      <c r="BO33">
        <v>339.31244164023701</v>
      </c>
      <c r="BP33">
        <v>345.58603571666441</v>
      </c>
      <c r="BQ33">
        <v>351.85962979309159</v>
      </c>
      <c r="BR33">
        <v>358.13322386951887</v>
      </c>
      <c r="BS33">
        <v>364.40681794594622</v>
      </c>
      <c r="BT33">
        <v>370.6804120223735</v>
      </c>
    </row>
    <row r="34" spans="1:72" x14ac:dyDescent="0.25">
      <c r="A34" s="1">
        <f t="shared" si="2"/>
        <v>89.39999999999992</v>
      </c>
      <c r="B34">
        <v>-71.193027858786948</v>
      </c>
      <c r="C34">
        <v>-64.924321657542222</v>
      </c>
      <c r="D34">
        <v>-58.655615456297518</v>
      </c>
      <c r="E34">
        <v>-52.386909255052807</v>
      </c>
      <c r="F34">
        <v>-46.118203053808102</v>
      </c>
      <c r="G34">
        <v>-39.849496852563377</v>
      </c>
      <c r="H34">
        <v>-33.580790651318679</v>
      </c>
      <c r="I34">
        <v>-27.312084450073961</v>
      </c>
      <c r="J34">
        <v>-21.043378248829249</v>
      </c>
      <c r="K34">
        <v>-14.77467204758454</v>
      </c>
      <c r="L34">
        <v>-8.5059658463398247</v>
      </c>
      <c r="M34">
        <v>-2.2372596450951141</v>
      </c>
      <c r="N34">
        <v>4.0314465561495982</v>
      </c>
      <c r="O34">
        <v>10.30015275739431</v>
      </c>
      <c r="P34">
        <v>16.568858958639019</v>
      </c>
      <c r="Q34">
        <v>22.837565159883731</v>
      </c>
      <c r="R34">
        <v>29.106271361128449</v>
      </c>
      <c r="S34">
        <v>35.374977562373147</v>
      </c>
      <c r="T34">
        <v>41.643683763617872</v>
      </c>
      <c r="U34">
        <v>47.912389964862577</v>
      </c>
      <c r="V34">
        <v>54.181096166107302</v>
      </c>
      <c r="W34">
        <v>60.449802367352007</v>
      </c>
      <c r="X34">
        <v>66.718508568596718</v>
      </c>
      <c r="Y34">
        <v>72.98721476984143</v>
      </c>
      <c r="Z34">
        <v>79.255920971086141</v>
      </c>
      <c r="AA34">
        <v>85.524627172330852</v>
      </c>
      <c r="AB34">
        <v>91.793333373575564</v>
      </c>
      <c r="AC34">
        <v>98.062039574820275</v>
      </c>
      <c r="AD34">
        <v>104.330745776065</v>
      </c>
      <c r="AE34">
        <v>110.5994519773097</v>
      </c>
      <c r="AF34">
        <v>116.8681581785544</v>
      </c>
      <c r="AG34">
        <v>123.13686437979911</v>
      </c>
      <c r="AH34">
        <v>129.4055705810438</v>
      </c>
      <c r="AI34">
        <v>135.67427678228859</v>
      </c>
      <c r="AJ34">
        <v>141.94298298353331</v>
      </c>
      <c r="AK34">
        <v>148.21168918477801</v>
      </c>
      <c r="AL34">
        <v>154.48039538602271</v>
      </c>
      <c r="AM34">
        <v>160.7491015872674</v>
      </c>
      <c r="AN34">
        <v>167.0178077885121</v>
      </c>
      <c r="AO34">
        <v>173.2865139897568</v>
      </c>
      <c r="AP34">
        <v>179.5552201910015</v>
      </c>
      <c r="AQ34">
        <v>185.82392639224619</v>
      </c>
      <c r="AR34">
        <v>192.09263259349089</v>
      </c>
      <c r="AS34">
        <v>198.3613387947357</v>
      </c>
      <c r="AT34">
        <v>204.6300449959804</v>
      </c>
      <c r="AU34">
        <v>210.8987511972251</v>
      </c>
      <c r="AV34">
        <v>217.16745739846979</v>
      </c>
      <c r="AW34">
        <v>223.43616359971449</v>
      </c>
      <c r="AX34">
        <v>229.70486980095919</v>
      </c>
      <c r="AY34">
        <v>235.973576002204</v>
      </c>
      <c r="AZ34">
        <v>242.2422822034487</v>
      </c>
      <c r="BA34">
        <v>248.51098840469339</v>
      </c>
      <c r="BB34">
        <v>254.77969460593809</v>
      </c>
      <c r="BC34">
        <v>261.04840080718282</v>
      </c>
      <c r="BD34">
        <v>267.31710700842751</v>
      </c>
      <c r="BE34">
        <v>273.58581320967221</v>
      </c>
      <c r="BF34">
        <v>279.85451941091691</v>
      </c>
      <c r="BG34">
        <v>286.1232256121616</v>
      </c>
      <c r="BH34">
        <v>292.39193181340642</v>
      </c>
      <c r="BI34">
        <v>298.66063801465111</v>
      </c>
      <c r="BJ34">
        <v>304.92934421589581</v>
      </c>
      <c r="BK34">
        <v>311.19805041714051</v>
      </c>
      <c r="BL34">
        <v>317.4667566183852</v>
      </c>
      <c r="BM34">
        <v>323.7354628196299</v>
      </c>
      <c r="BN34">
        <v>330.0041690208746</v>
      </c>
      <c r="BO34">
        <v>336.27287522211941</v>
      </c>
      <c r="BP34">
        <v>342.54158142336411</v>
      </c>
      <c r="BQ34">
        <v>348.81028762460869</v>
      </c>
      <c r="BR34">
        <v>355.0789938258535</v>
      </c>
      <c r="BS34">
        <v>361.3477000270982</v>
      </c>
      <c r="BT34">
        <v>367.6164062283429</v>
      </c>
    </row>
    <row r="35" spans="1:72" x14ac:dyDescent="0.25">
      <c r="A35" s="1">
        <f t="shared" si="2"/>
        <v>91.199999999999918</v>
      </c>
      <c r="B35">
        <v>-73.910884280873248</v>
      </c>
      <c r="C35">
        <v>-67.647066501625687</v>
      </c>
      <c r="D35">
        <v>-61.38324872237812</v>
      </c>
      <c r="E35">
        <v>-55.11943094313056</v>
      </c>
      <c r="F35">
        <v>-48.855613163883</v>
      </c>
      <c r="G35">
        <v>-42.591795384635439</v>
      </c>
      <c r="H35">
        <v>-36.327977605387872</v>
      </c>
      <c r="I35">
        <v>-30.064159826140319</v>
      </c>
      <c r="J35">
        <v>-23.800342046892759</v>
      </c>
      <c r="K35">
        <v>-17.536524267645191</v>
      </c>
      <c r="L35">
        <v>-11.272706488397629</v>
      </c>
      <c r="M35">
        <v>-5.0088887091500673</v>
      </c>
      <c r="N35">
        <v>1.254929070097494</v>
      </c>
      <c r="O35">
        <v>7.5187468493450558</v>
      </c>
      <c r="P35">
        <v>13.78256462859262</v>
      </c>
      <c r="Q35">
        <v>20.046382407840181</v>
      </c>
      <c r="R35">
        <v>26.310200187087741</v>
      </c>
      <c r="S35">
        <v>32.574017966335298</v>
      </c>
      <c r="T35">
        <v>38.837835745582858</v>
      </c>
      <c r="U35">
        <v>45.101653524830432</v>
      </c>
      <c r="V35">
        <v>51.365471304077992</v>
      </c>
      <c r="W35">
        <v>57.629289083325553</v>
      </c>
      <c r="X35">
        <v>63.893106862573113</v>
      </c>
      <c r="Y35">
        <v>70.156924641820666</v>
      </c>
      <c r="Z35">
        <v>76.42074242106824</v>
      </c>
      <c r="AA35">
        <v>82.684560200315801</v>
      </c>
      <c r="AB35">
        <v>88.948377979563347</v>
      </c>
      <c r="AC35">
        <v>95.212195758810921</v>
      </c>
      <c r="AD35">
        <v>101.4760135380585</v>
      </c>
      <c r="AE35">
        <v>107.739831317306</v>
      </c>
      <c r="AF35">
        <v>114.0036490965536</v>
      </c>
      <c r="AG35">
        <v>120.2674668758012</v>
      </c>
      <c r="AH35">
        <v>126.53128465504869</v>
      </c>
      <c r="AI35">
        <v>132.7951024342963</v>
      </c>
      <c r="AJ35">
        <v>139.05892021354379</v>
      </c>
      <c r="AK35">
        <v>145.32273799279139</v>
      </c>
      <c r="AL35">
        <v>151.58655577203899</v>
      </c>
      <c r="AM35">
        <v>157.85037355128651</v>
      </c>
      <c r="AN35">
        <v>164.11419133053411</v>
      </c>
      <c r="AO35">
        <v>170.37800910978169</v>
      </c>
      <c r="AP35">
        <v>176.6418268890292</v>
      </c>
      <c r="AQ35">
        <v>182.90564466827681</v>
      </c>
      <c r="AR35">
        <v>189.1694624475243</v>
      </c>
      <c r="AS35">
        <v>195.4332802267719</v>
      </c>
      <c r="AT35">
        <v>201.69709800601939</v>
      </c>
      <c r="AU35">
        <v>207.96091578526699</v>
      </c>
      <c r="AV35">
        <v>214.22473356451459</v>
      </c>
      <c r="AW35">
        <v>220.48855134376211</v>
      </c>
      <c r="AX35">
        <v>226.75236912300969</v>
      </c>
      <c r="AY35">
        <v>233.01618690225729</v>
      </c>
      <c r="AZ35">
        <v>239.28000468150481</v>
      </c>
      <c r="BA35">
        <v>245.54382246075241</v>
      </c>
      <c r="BB35">
        <v>251.80764024000001</v>
      </c>
      <c r="BC35">
        <v>258.07145801924747</v>
      </c>
      <c r="BD35">
        <v>264.33527579849499</v>
      </c>
      <c r="BE35">
        <v>270.59909357774262</v>
      </c>
      <c r="BF35">
        <v>276.8629113569902</v>
      </c>
      <c r="BG35">
        <v>283.12672913623783</v>
      </c>
      <c r="BH35">
        <v>289.39054691548529</v>
      </c>
      <c r="BI35">
        <v>295.65436469473292</v>
      </c>
      <c r="BJ35">
        <v>301.91818247398038</v>
      </c>
      <c r="BK35">
        <v>308.18200025322801</v>
      </c>
      <c r="BL35">
        <v>314.44581803247559</v>
      </c>
      <c r="BM35">
        <v>320.7096358117231</v>
      </c>
      <c r="BN35">
        <v>326.97345359097068</v>
      </c>
      <c r="BO35">
        <v>333.23727137021831</v>
      </c>
      <c r="BP35">
        <v>339.50108914946583</v>
      </c>
      <c r="BQ35">
        <v>345.7649069287134</v>
      </c>
      <c r="BR35">
        <v>352.02872470796092</v>
      </c>
      <c r="BS35">
        <v>358.29254248720849</v>
      </c>
      <c r="BT35">
        <v>364.55636026645612</v>
      </c>
    </row>
    <row r="36" spans="1:72" x14ac:dyDescent="0.25">
      <c r="A36" s="1">
        <f t="shared" si="2"/>
        <v>92.999999999999915</v>
      </c>
      <c r="B36">
        <v>-76.624746196776954</v>
      </c>
      <c r="C36">
        <v>-70.365817546822598</v>
      </c>
      <c r="D36">
        <v>-64.10688889686827</v>
      </c>
      <c r="E36">
        <v>-57.847960246913907</v>
      </c>
      <c r="F36">
        <v>-51.589031596959558</v>
      </c>
      <c r="G36">
        <v>-45.330102947005223</v>
      </c>
      <c r="H36">
        <v>-39.071174297050867</v>
      </c>
      <c r="I36">
        <v>-32.812245647096518</v>
      </c>
      <c r="J36">
        <v>-26.553316997142179</v>
      </c>
      <c r="K36">
        <v>-20.29438834718783</v>
      </c>
      <c r="L36">
        <v>-14.035459697233479</v>
      </c>
      <c r="M36">
        <v>-7.7765310472791356</v>
      </c>
      <c r="N36">
        <v>-1.517602397324789</v>
      </c>
      <c r="O36">
        <v>4.7413262526295581</v>
      </c>
      <c r="P36">
        <v>11.00025490258391</v>
      </c>
      <c r="Q36">
        <v>17.25918355253825</v>
      </c>
      <c r="R36">
        <v>23.518112202492599</v>
      </c>
      <c r="S36">
        <v>29.777040852446952</v>
      </c>
      <c r="T36">
        <v>36.035969502401286</v>
      </c>
      <c r="U36">
        <v>42.294898152355643</v>
      </c>
      <c r="V36">
        <v>48.553826802309992</v>
      </c>
      <c r="W36">
        <v>54.812755452264327</v>
      </c>
      <c r="X36">
        <v>61.071684102218683</v>
      </c>
      <c r="Y36">
        <v>67.330612752173025</v>
      </c>
      <c r="Z36">
        <v>73.589541402127381</v>
      </c>
      <c r="AA36">
        <v>79.848470052081723</v>
      </c>
      <c r="AB36">
        <v>86.107398702036065</v>
      </c>
      <c r="AC36">
        <v>92.366327351990421</v>
      </c>
      <c r="AD36">
        <v>98.625256001944763</v>
      </c>
      <c r="AE36">
        <v>104.8841846518991</v>
      </c>
      <c r="AF36">
        <v>111.1431133018534</v>
      </c>
      <c r="AG36">
        <v>117.4020419518078</v>
      </c>
      <c r="AH36">
        <v>123.6609706017621</v>
      </c>
      <c r="AI36">
        <v>129.91989925171649</v>
      </c>
      <c r="AJ36">
        <v>136.17882790167079</v>
      </c>
      <c r="AK36">
        <v>142.4377565516252</v>
      </c>
      <c r="AL36">
        <v>148.6966852015795</v>
      </c>
      <c r="AM36">
        <v>154.95561385153391</v>
      </c>
      <c r="AN36">
        <v>161.21454250148821</v>
      </c>
      <c r="AO36">
        <v>167.4734711514426</v>
      </c>
      <c r="AP36">
        <v>173.73239980139689</v>
      </c>
      <c r="AQ36">
        <v>179.99132845135131</v>
      </c>
      <c r="AR36">
        <v>186.25025710130561</v>
      </c>
      <c r="AS36">
        <v>192.50918575125999</v>
      </c>
      <c r="AT36">
        <v>198.76811440121429</v>
      </c>
      <c r="AU36">
        <v>205.02704305116859</v>
      </c>
      <c r="AV36">
        <v>211.285971701123</v>
      </c>
      <c r="AW36">
        <v>217.5449003510773</v>
      </c>
      <c r="AX36">
        <v>223.80382900103169</v>
      </c>
      <c r="AY36">
        <v>230.06275765098599</v>
      </c>
      <c r="AZ36">
        <v>236.3216863009404</v>
      </c>
      <c r="BA36">
        <v>242.5806149508947</v>
      </c>
      <c r="BB36">
        <v>248.83954360084911</v>
      </c>
      <c r="BC36">
        <v>255.09847225080341</v>
      </c>
      <c r="BD36">
        <v>261.3574009007578</v>
      </c>
      <c r="BE36">
        <v>267.61632955071212</v>
      </c>
      <c r="BF36">
        <v>273.87525820066651</v>
      </c>
      <c r="BG36">
        <v>280.13418685062078</v>
      </c>
      <c r="BH36">
        <v>286.39311550057511</v>
      </c>
      <c r="BI36">
        <v>292.65204415052949</v>
      </c>
      <c r="BJ36">
        <v>298.91097280048382</v>
      </c>
      <c r="BK36">
        <v>305.1699014504382</v>
      </c>
      <c r="BL36">
        <v>311.42883010039247</v>
      </c>
      <c r="BM36">
        <v>317.68775875034692</v>
      </c>
      <c r="BN36">
        <v>323.94668740030119</v>
      </c>
      <c r="BO36">
        <v>330.20561605025563</v>
      </c>
      <c r="BP36">
        <v>336.46454470021001</v>
      </c>
      <c r="BQ36">
        <v>342.72347335016428</v>
      </c>
      <c r="BR36">
        <v>348.98240200011873</v>
      </c>
      <c r="BS36">
        <v>355.24133065007288</v>
      </c>
      <c r="BT36">
        <v>361.50025930002732</v>
      </c>
    </row>
    <row r="37" spans="1:72" x14ac:dyDescent="0.25">
      <c r="A37" s="1">
        <f t="shared" si="2"/>
        <v>94.799999999999912</v>
      </c>
      <c r="B37">
        <v>-79.334616818201141</v>
      </c>
      <c r="C37">
        <v>-73.0805781730826</v>
      </c>
      <c r="D37">
        <v>-66.826539527964044</v>
      </c>
      <c r="E37">
        <v>-60.572500882845503</v>
      </c>
      <c r="F37">
        <v>-54.318462237726948</v>
      </c>
      <c r="G37">
        <v>-48.064423592608406</v>
      </c>
      <c r="H37">
        <v>-41.810384947489858</v>
      </c>
      <c r="I37">
        <v>-35.55634630237131</v>
      </c>
      <c r="J37">
        <v>-29.302307657252761</v>
      </c>
      <c r="K37">
        <v>-23.04826901213422</v>
      </c>
      <c r="L37">
        <v>-16.794230367015668</v>
      </c>
      <c r="M37">
        <v>-10.54019172189712</v>
      </c>
      <c r="N37">
        <v>-4.2861530767785743</v>
      </c>
      <c r="O37">
        <v>1.967885568339973</v>
      </c>
      <c r="P37">
        <v>8.2219242134585198</v>
      </c>
      <c r="Q37">
        <v>14.47596285857707</v>
      </c>
      <c r="R37">
        <v>20.730001503695611</v>
      </c>
      <c r="S37">
        <v>26.984040148814159</v>
      </c>
      <c r="T37">
        <v>33.238078793932708</v>
      </c>
      <c r="U37">
        <v>39.492117439051263</v>
      </c>
      <c r="V37">
        <v>45.746156084169797</v>
      </c>
      <c r="W37">
        <v>52.000194729288353</v>
      </c>
      <c r="X37">
        <v>58.254233374406887</v>
      </c>
      <c r="Y37">
        <v>64.50827201952545</v>
      </c>
      <c r="Z37">
        <v>70.762310664643991</v>
      </c>
      <c r="AA37">
        <v>77.016349309762546</v>
      </c>
      <c r="AB37">
        <v>83.270387954881087</v>
      </c>
      <c r="AC37">
        <v>89.524426599999629</v>
      </c>
      <c r="AD37">
        <v>95.77846524511817</v>
      </c>
      <c r="AE37">
        <v>102.0325038902367</v>
      </c>
      <c r="AF37">
        <v>108.2865425353553</v>
      </c>
      <c r="AG37">
        <v>114.54058118047379</v>
      </c>
      <c r="AH37">
        <v>120.79461982559241</v>
      </c>
      <c r="AI37">
        <v>127.0486584707109</v>
      </c>
      <c r="AJ37">
        <v>133.30269711582949</v>
      </c>
      <c r="AK37">
        <v>139.55673576094799</v>
      </c>
      <c r="AL37">
        <v>145.8107744060666</v>
      </c>
      <c r="AM37">
        <v>152.0648130511851</v>
      </c>
      <c r="AN37">
        <v>158.31885169630371</v>
      </c>
      <c r="AO37">
        <v>164.57289034142221</v>
      </c>
      <c r="AP37">
        <v>170.82692898654071</v>
      </c>
      <c r="AQ37">
        <v>177.08096763165929</v>
      </c>
      <c r="AR37">
        <v>183.33500627677779</v>
      </c>
      <c r="AS37">
        <v>189.5890449218964</v>
      </c>
      <c r="AT37">
        <v>195.8430835670149</v>
      </c>
      <c r="AU37">
        <v>202.09712221213351</v>
      </c>
      <c r="AV37">
        <v>208.35116085725201</v>
      </c>
      <c r="AW37">
        <v>214.6051995023706</v>
      </c>
      <c r="AX37">
        <v>220.85923814748909</v>
      </c>
      <c r="AY37">
        <v>227.11327679260771</v>
      </c>
      <c r="AZ37">
        <v>233.36731543772621</v>
      </c>
      <c r="BA37">
        <v>239.62135408284479</v>
      </c>
      <c r="BB37">
        <v>245.87539272796329</v>
      </c>
      <c r="BC37">
        <v>252.1294313730819</v>
      </c>
      <c r="BD37">
        <v>258.3834700182004</v>
      </c>
      <c r="BE37">
        <v>264.63750866331901</v>
      </c>
      <c r="BF37">
        <v>270.89154730843762</v>
      </c>
      <c r="BG37">
        <v>277.14558595355612</v>
      </c>
      <c r="BH37">
        <v>283.39962459867462</v>
      </c>
      <c r="BI37">
        <v>289.65366324379318</v>
      </c>
      <c r="BJ37">
        <v>295.90770188891167</v>
      </c>
      <c r="BK37">
        <v>302.16174053403029</v>
      </c>
      <c r="BL37">
        <v>308.41577917914879</v>
      </c>
      <c r="BM37">
        <v>314.66981782426728</v>
      </c>
      <c r="BN37">
        <v>320.9238564693859</v>
      </c>
      <c r="BO37">
        <v>327.17789511450451</v>
      </c>
      <c r="BP37">
        <v>333.43193375962301</v>
      </c>
      <c r="BQ37">
        <v>339.68597240474162</v>
      </c>
      <c r="BR37">
        <v>345.94001104986012</v>
      </c>
      <c r="BS37">
        <v>352.19404969497862</v>
      </c>
      <c r="BT37">
        <v>358.44808834009717</v>
      </c>
    </row>
    <row r="38" spans="1:72" x14ac:dyDescent="0.25">
      <c r="A38" s="1">
        <f t="shared" si="2"/>
        <v>96.599999999999909</v>
      </c>
      <c r="B38">
        <v>-82.040498947650676</v>
      </c>
      <c r="C38">
        <v>-75.791351358950919</v>
      </c>
      <c r="D38">
        <v>-69.542203770251135</v>
      </c>
      <c r="E38">
        <v>-63.293056181551357</v>
      </c>
      <c r="F38">
        <v>-57.043908592851587</v>
      </c>
      <c r="G38">
        <v>-50.794761004151823</v>
      </c>
      <c r="H38">
        <v>-44.545613415452053</v>
      </c>
      <c r="I38">
        <v>-38.296465826752282</v>
      </c>
      <c r="J38">
        <v>-32.047318238052497</v>
      </c>
      <c r="K38">
        <v>-25.798170649352741</v>
      </c>
      <c r="L38">
        <v>-19.549023060652971</v>
      </c>
      <c r="M38">
        <v>-13.2998754719532</v>
      </c>
      <c r="N38">
        <v>-7.0507278832534253</v>
      </c>
      <c r="O38">
        <v>-0.8015802945536542</v>
      </c>
      <c r="P38">
        <v>5.4475672941461166</v>
      </c>
      <c r="Q38">
        <v>11.696714882845891</v>
      </c>
      <c r="R38">
        <v>17.945862471545659</v>
      </c>
      <c r="S38">
        <v>24.19501006024543</v>
      </c>
      <c r="T38">
        <v>30.4441576489452</v>
      </c>
      <c r="U38">
        <v>36.693305237644978</v>
      </c>
      <c r="V38">
        <v>42.942452826344741</v>
      </c>
      <c r="W38">
        <v>49.191600415044519</v>
      </c>
      <c r="X38">
        <v>55.440748003744282</v>
      </c>
      <c r="Y38">
        <v>61.689895592444053</v>
      </c>
      <c r="Z38">
        <v>67.93904318114383</v>
      </c>
      <c r="AA38">
        <v>74.188190769843601</v>
      </c>
      <c r="AB38">
        <v>80.437338358543371</v>
      </c>
      <c r="AC38">
        <v>86.686485947243142</v>
      </c>
      <c r="AD38">
        <v>92.935633535942912</v>
      </c>
      <c r="AE38">
        <v>99.184781124642683</v>
      </c>
      <c r="AF38">
        <v>105.4339287133425</v>
      </c>
      <c r="AG38">
        <v>111.6830763020422</v>
      </c>
      <c r="AH38">
        <v>117.93222389074199</v>
      </c>
      <c r="AI38">
        <v>124.18137147944179</v>
      </c>
      <c r="AJ38">
        <v>130.43051906814151</v>
      </c>
      <c r="AK38">
        <v>136.67966665684131</v>
      </c>
      <c r="AL38">
        <v>142.9288142455411</v>
      </c>
      <c r="AM38">
        <v>149.1779618342409</v>
      </c>
      <c r="AN38">
        <v>155.42710942294059</v>
      </c>
      <c r="AO38">
        <v>161.67625701164039</v>
      </c>
      <c r="AP38">
        <v>167.92540460034019</v>
      </c>
      <c r="AQ38">
        <v>174.1745521890399</v>
      </c>
      <c r="AR38">
        <v>180.4236997777397</v>
      </c>
      <c r="AS38">
        <v>186.6728473664395</v>
      </c>
      <c r="AT38">
        <v>192.92199495513921</v>
      </c>
      <c r="AU38">
        <v>199.17114254383901</v>
      </c>
      <c r="AV38">
        <v>205.42029013253881</v>
      </c>
      <c r="AW38">
        <v>211.66943772123861</v>
      </c>
      <c r="AX38">
        <v>217.91858530993829</v>
      </c>
      <c r="AY38">
        <v>224.16773289863809</v>
      </c>
      <c r="AZ38">
        <v>230.41688048733789</v>
      </c>
      <c r="BA38">
        <v>236.66602807603761</v>
      </c>
      <c r="BB38">
        <v>242.9151756647374</v>
      </c>
      <c r="BC38">
        <v>249.16432325343709</v>
      </c>
      <c r="BD38">
        <v>255.41347084213689</v>
      </c>
      <c r="BE38">
        <v>261.66261843083669</v>
      </c>
      <c r="BF38">
        <v>267.91176601953651</v>
      </c>
      <c r="BG38">
        <v>274.16091360823629</v>
      </c>
      <c r="BH38">
        <v>280.410061196936</v>
      </c>
      <c r="BI38">
        <v>286.65920878563583</v>
      </c>
      <c r="BJ38">
        <v>292.90835637433548</v>
      </c>
      <c r="BK38">
        <v>299.15750396303531</v>
      </c>
      <c r="BL38">
        <v>305.40665155173508</v>
      </c>
      <c r="BM38">
        <v>311.65579914043491</v>
      </c>
      <c r="BN38">
        <v>317.90494672913462</v>
      </c>
      <c r="BO38">
        <v>324.15409431783439</v>
      </c>
      <c r="BP38">
        <v>330.40324190653422</v>
      </c>
      <c r="BQ38">
        <v>336.65238949523399</v>
      </c>
      <c r="BR38">
        <v>342.90153708393382</v>
      </c>
      <c r="BS38">
        <v>349.15068467263347</v>
      </c>
      <c r="BT38">
        <v>355.39983226133319</v>
      </c>
    </row>
    <row r="39" spans="1:72" x14ac:dyDescent="0.25">
      <c r="A39" s="1">
        <f t="shared" si="2"/>
        <v>98.399999999999906</v>
      </c>
      <c r="B39">
        <v>-84.74239496067699</v>
      </c>
      <c r="C39">
        <v>-78.498139663822329</v>
      </c>
      <c r="D39">
        <v>-72.253884366967668</v>
      </c>
      <c r="E39">
        <v>-66.009629070112993</v>
      </c>
      <c r="F39">
        <v>-59.765373773258332</v>
      </c>
      <c r="G39">
        <v>-53.521118476403657</v>
      </c>
      <c r="H39">
        <v>-47.276863179548997</v>
      </c>
      <c r="I39">
        <v>-41.032607882694343</v>
      </c>
      <c r="J39">
        <v>-34.788352585839682</v>
      </c>
      <c r="K39">
        <v>-28.544097288985011</v>
      </c>
      <c r="L39">
        <v>-22.29984199213035</v>
      </c>
      <c r="M39">
        <v>-16.055586695275679</v>
      </c>
      <c r="N39">
        <v>-9.8113313984210162</v>
      </c>
      <c r="O39">
        <v>-3.5670761015663519</v>
      </c>
      <c r="P39">
        <v>2.6771791952883111</v>
      </c>
      <c r="Q39">
        <v>8.9214344921429749</v>
      </c>
      <c r="R39">
        <v>15.165689788997639</v>
      </c>
      <c r="S39">
        <v>21.409945085852311</v>
      </c>
      <c r="T39">
        <v>27.654200382706971</v>
      </c>
      <c r="U39">
        <v>33.898455679561643</v>
      </c>
      <c r="V39">
        <v>40.142710976416303</v>
      </c>
      <c r="W39">
        <v>46.386966273270957</v>
      </c>
      <c r="X39">
        <v>52.631221570125618</v>
      </c>
      <c r="Y39">
        <v>58.875476866980293</v>
      </c>
      <c r="Z39">
        <v>65.119732163834954</v>
      </c>
      <c r="AA39">
        <v>71.363987460689614</v>
      </c>
      <c r="AB39">
        <v>77.608242757544289</v>
      </c>
      <c r="AC39">
        <v>83.85249805439895</v>
      </c>
      <c r="AD39">
        <v>90.096753351253611</v>
      </c>
      <c r="AE39">
        <v>96.341008648108271</v>
      </c>
      <c r="AF39">
        <v>102.5852639449629</v>
      </c>
      <c r="AG39">
        <v>108.82951924181759</v>
      </c>
      <c r="AH39">
        <v>115.0737745386723</v>
      </c>
      <c r="AI39">
        <v>121.3180298355269</v>
      </c>
      <c r="AJ39">
        <v>127.5622851323816</v>
      </c>
      <c r="AK39">
        <v>133.80654042923629</v>
      </c>
      <c r="AL39">
        <v>140.05079572609091</v>
      </c>
      <c r="AM39">
        <v>146.29505102294559</v>
      </c>
      <c r="AN39">
        <v>152.53930631980029</v>
      </c>
      <c r="AO39">
        <v>158.78356161665491</v>
      </c>
      <c r="AP39">
        <v>165.02781691350961</v>
      </c>
      <c r="AQ39">
        <v>171.2720722103642</v>
      </c>
      <c r="AR39">
        <v>177.5163275072189</v>
      </c>
      <c r="AS39">
        <v>183.76058280407361</v>
      </c>
      <c r="AT39">
        <v>190.00483810092831</v>
      </c>
      <c r="AU39">
        <v>196.2490933977829</v>
      </c>
      <c r="AV39">
        <v>202.49334869463749</v>
      </c>
      <c r="AW39">
        <v>208.73760399149219</v>
      </c>
      <c r="AX39">
        <v>214.9818592883469</v>
      </c>
      <c r="AY39">
        <v>221.22611458520149</v>
      </c>
      <c r="AZ39">
        <v>227.47036988205619</v>
      </c>
      <c r="BA39">
        <v>233.71462517891089</v>
      </c>
      <c r="BB39">
        <v>239.95888047576551</v>
      </c>
      <c r="BC39">
        <v>246.20313577262019</v>
      </c>
      <c r="BD39">
        <v>252.44739106947489</v>
      </c>
      <c r="BE39">
        <v>258.69164636632951</v>
      </c>
      <c r="BF39">
        <v>264.93590166318421</v>
      </c>
      <c r="BG39">
        <v>271.18015696003891</v>
      </c>
      <c r="BH39">
        <v>277.4244122568935</v>
      </c>
      <c r="BI39">
        <v>283.66866755374821</v>
      </c>
      <c r="BJ39">
        <v>289.9129228506028</v>
      </c>
      <c r="BK39">
        <v>296.1571781474575</v>
      </c>
      <c r="BL39">
        <v>302.4014334443122</v>
      </c>
      <c r="BM39">
        <v>308.64568874116691</v>
      </c>
      <c r="BN39">
        <v>314.8899440380215</v>
      </c>
      <c r="BO39">
        <v>321.13419933487609</v>
      </c>
      <c r="BP39">
        <v>327.37845463173079</v>
      </c>
      <c r="BQ39">
        <v>333.62270992858549</v>
      </c>
      <c r="BR39">
        <v>339.86696522544008</v>
      </c>
      <c r="BS39">
        <v>346.11122052229479</v>
      </c>
      <c r="BT39">
        <v>352.35547581914949</v>
      </c>
    </row>
    <row r="40" spans="1:72" x14ac:dyDescent="0.25">
      <c r="A40" s="1">
        <f t="shared" si="2"/>
        <v>100.1999999999999</v>
      </c>
      <c r="B40">
        <v>-87.440306788328328</v>
      </c>
      <c r="C40">
        <v>-81.200945210382258</v>
      </c>
      <c r="D40">
        <v>-74.961583632436174</v>
      </c>
      <c r="E40">
        <v>-68.722222054490089</v>
      </c>
      <c r="F40">
        <v>-62.482860476544019</v>
      </c>
      <c r="G40">
        <v>-56.243498898597927</v>
      </c>
      <c r="H40">
        <v>-50.004137320651857</v>
      </c>
      <c r="I40">
        <v>-43.764775742705787</v>
      </c>
      <c r="J40">
        <v>-37.525414164759709</v>
      </c>
      <c r="K40">
        <v>-31.286052586813629</v>
      </c>
      <c r="L40">
        <v>-25.046691008867551</v>
      </c>
      <c r="M40">
        <v>-18.80732943092147</v>
      </c>
      <c r="N40">
        <v>-12.567967852975389</v>
      </c>
      <c r="O40">
        <v>-6.3286062750293111</v>
      </c>
      <c r="P40">
        <v>-8.9244697083232058E-2</v>
      </c>
      <c r="Q40">
        <v>6.1501168808628464</v>
      </c>
      <c r="R40">
        <v>12.389478458808931</v>
      </c>
      <c r="S40">
        <v>18.628840036755001</v>
      </c>
      <c r="T40">
        <v>24.868201614701078</v>
      </c>
      <c r="U40">
        <v>31.107563192647159</v>
      </c>
      <c r="V40">
        <v>37.34692477059324</v>
      </c>
      <c r="W40">
        <v>43.586286348539318</v>
      </c>
      <c r="X40">
        <v>49.825647926485402</v>
      </c>
      <c r="Y40">
        <v>56.06500950443148</v>
      </c>
      <c r="Z40">
        <v>62.304371082377557</v>
      </c>
      <c r="AA40">
        <v>68.543732660323641</v>
      </c>
      <c r="AB40">
        <v>74.783094238269712</v>
      </c>
      <c r="AC40">
        <v>81.022455816215796</v>
      </c>
      <c r="AD40">
        <v>87.261817394161866</v>
      </c>
      <c r="AE40">
        <v>93.501178972107951</v>
      </c>
      <c r="AF40">
        <v>99.740540550054035</v>
      </c>
      <c r="AG40">
        <v>105.97990212800011</v>
      </c>
      <c r="AH40">
        <v>112.2192637059462</v>
      </c>
      <c r="AI40">
        <v>118.4586252838923</v>
      </c>
      <c r="AJ40">
        <v>124.6979868618383</v>
      </c>
      <c r="AK40">
        <v>130.93734843978439</v>
      </c>
      <c r="AL40">
        <v>137.1767100177305</v>
      </c>
      <c r="AM40">
        <v>143.41607159567661</v>
      </c>
      <c r="AN40">
        <v>149.65543317362261</v>
      </c>
      <c r="AO40">
        <v>155.8947947515687</v>
      </c>
      <c r="AP40">
        <v>162.13415632951481</v>
      </c>
      <c r="AQ40">
        <v>168.37351790746089</v>
      </c>
      <c r="AR40">
        <v>174.61287948540689</v>
      </c>
      <c r="AS40">
        <v>180.85224106335301</v>
      </c>
      <c r="AT40">
        <v>187.09160264129909</v>
      </c>
      <c r="AU40">
        <v>193.3309642192452</v>
      </c>
      <c r="AV40">
        <v>199.57032579719129</v>
      </c>
      <c r="AW40">
        <v>205.8096873751374</v>
      </c>
      <c r="AX40">
        <v>212.04904895308351</v>
      </c>
      <c r="AY40">
        <v>218.28841053102951</v>
      </c>
      <c r="AZ40">
        <v>224.52777210897571</v>
      </c>
      <c r="BA40">
        <v>230.76713368692171</v>
      </c>
      <c r="BB40">
        <v>237.00649526486779</v>
      </c>
      <c r="BC40">
        <v>243.24585684281391</v>
      </c>
      <c r="BD40">
        <v>249.48521842075999</v>
      </c>
      <c r="BE40">
        <v>255.72457999870599</v>
      </c>
      <c r="BF40">
        <v>261.96394157665208</v>
      </c>
      <c r="BG40">
        <v>268.20330315459819</v>
      </c>
      <c r="BH40">
        <v>274.44266473254419</v>
      </c>
      <c r="BI40">
        <v>280.68202631049041</v>
      </c>
      <c r="BJ40">
        <v>286.92138788843641</v>
      </c>
      <c r="BK40">
        <v>293.16074946638253</v>
      </c>
      <c r="BL40">
        <v>299.40011104432858</v>
      </c>
      <c r="BM40">
        <v>305.63947262227458</v>
      </c>
      <c r="BN40">
        <v>311.87883420022081</v>
      </c>
      <c r="BO40">
        <v>318.11819577816681</v>
      </c>
      <c r="BP40">
        <v>324.35755735611292</v>
      </c>
      <c r="BQ40">
        <v>330.59691893405898</v>
      </c>
      <c r="BR40">
        <v>336.83628051200498</v>
      </c>
      <c r="BS40">
        <v>343.07564208995109</v>
      </c>
      <c r="BT40">
        <v>349.3150036678972</v>
      </c>
    </row>
    <row r="41" spans="1:72" x14ac:dyDescent="0.25">
      <c r="A41" s="1">
        <f t="shared" si="2"/>
        <v>101.9999999999999</v>
      </c>
      <c r="B41">
        <v>-90.134235899840021</v>
      </c>
      <c r="C41">
        <v>-83.89976966727103</v>
      </c>
      <c r="D41">
        <v>-77.665303434702025</v>
      </c>
      <c r="E41">
        <v>-71.430837202133034</v>
      </c>
      <c r="F41">
        <v>-65.196370969564029</v>
      </c>
      <c r="G41">
        <v>-58.961904736995031</v>
      </c>
      <c r="H41">
        <v>-52.727438504426033</v>
      </c>
      <c r="I41">
        <v>-46.492972271857028</v>
      </c>
      <c r="J41">
        <v>-40.258506039288029</v>
      </c>
      <c r="K41">
        <v>-34.024039806719038</v>
      </c>
      <c r="L41">
        <v>-27.78957357415003</v>
      </c>
      <c r="M41">
        <v>-21.555107341581039</v>
      </c>
      <c r="N41">
        <v>-15.32064110901204</v>
      </c>
      <c r="O41">
        <v>-9.0861748764430388</v>
      </c>
      <c r="P41">
        <v>-2.8517086438740389</v>
      </c>
      <c r="Q41">
        <v>3.3827575886949588</v>
      </c>
      <c r="R41">
        <v>9.6172238212639574</v>
      </c>
      <c r="S41">
        <v>15.851690053832961</v>
      </c>
      <c r="T41">
        <v>22.086156286401959</v>
      </c>
      <c r="U41">
        <v>28.32062251897095</v>
      </c>
      <c r="V41">
        <v>34.555088751539962</v>
      </c>
      <c r="W41">
        <v>40.789554984108953</v>
      </c>
      <c r="X41">
        <v>47.024021216677951</v>
      </c>
      <c r="Y41">
        <v>53.25848744924695</v>
      </c>
      <c r="Z41">
        <v>59.492953681815948</v>
      </c>
      <c r="AA41">
        <v>65.727419914384953</v>
      </c>
      <c r="AB41">
        <v>71.961886146953944</v>
      </c>
      <c r="AC41">
        <v>78.196352379522949</v>
      </c>
      <c r="AD41">
        <v>84.43081861209194</v>
      </c>
      <c r="AE41">
        <v>90.665284844660945</v>
      </c>
      <c r="AF41">
        <v>96.899751077229951</v>
      </c>
      <c r="AG41">
        <v>103.1342173097989</v>
      </c>
      <c r="AH41">
        <v>109.3686835423679</v>
      </c>
      <c r="AI41">
        <v>115.6031497749369</v>
      </c>
      <c r="AJ41">
        <v>121.8376160075059</v>
      </c>
      <c r="AK41">
        <v>128.07208224007491</v>
      </c>
      <c r="AL41">
        <v>134.3065484726439</v>
      </c>
      <c r="AM41">
        <v>140.54101470521289</v>
      </c>
      <c r="AN41">
        <v>146.77548093778191</v>
      </c>
      <c r="AO41">
        <v>153.0099471703509</v>
      </c>
      <c r="AP41">
        <v>159.24441340291989</v>
      </c>
      <c r="AQ41">
        <v>165.47887963548891</v>
      </c>
      <c r="AR41">
        <v>171.7133458680579</v>
      </c>
      <c r="AS41">
        <v>177.94781210062689</v>
      </c>
      <c r="AT41">
        <v>184.18227833319591</v>
      </c>
      <c r="AU41">
        <v>190.4167445657649</v>
      </c>
      <c r="AV41">
        <v>196.65121079833389</v>
      </c>
      <c r="AW41">
        <v>202.88567703090291</v>
      </c>
      <c r="AX41">
        <v>209.12014326347199</v>
      </c>
      <c r="AY41">
        <v>215.35460949604101</v>
      </c>
      <c r="AZ41">
        <v>221.58907572860991</v>
      </c>
      <c r="BA41">
        <v>227.8235419611789</v>
      </c>
      <c r="BB41">
        <v>234.0580081937479</v>
      </c>
      <c r="BC41">
        <v>240.29247442631689</v>
      </c>
      <c r="BD41">
        <v>246.52694065888599</v>
      </c>
      <c r="BE41">
        <v>252.7614068914549</v>
      </c>
      <c r="BF41">
        <v>258.99587312402389</v>
      </c>
      <c r="BG41">
        <v>265.23033935659288</v>
      </c>
      <c r="BH41">
        <v>271.46480558916193</v>
      </c>
      <c r="BI41">
        <v>277.69927182173092</v>
      </c>
      <c r="BJ41">
        <v>283.93373805430002</v>
      </c>
      <c r="BK41">
        <v>290.1682042868689</v>
      </c>
      <c r="BL41">
        <v>296.40267051943789</v>
      </c>
      <c r="BM41">
        <v>302.63713675200688</v>
      </c>
      <c r="BN41">
        <v>308.87160298457587</v>
      </c>
      <c r="BO41">
        <v>315.10606921714492</v>
      </c>
      <c r="BP41">
        <v>321.34053544971391</v>
      </c>
      <c r="BQ41">
        <v>327.57500168228302</v>
      </c>
      <c r="BR41">
        <v>333.80946791485189</v>
      </c>
      <c r="BS41">
        <v>340.04393414742088</v>
      </c>
      <c r="BT41">
        <v>346.27840037998988</v>
      </c>
    </row>
    <row r="42" spans="1:72" x14ac:dyDescent="0.25">
      <c r="A42" s="1">
        <f t="shared" si="2"/>
        <v>103.7999999999999</v>
      </c>
      <c r="B42">
        <v>-92.824183285594245</v>
      </c>
      <c r="C42">
        <v>-86.594614232002655</v>
      </c>
      <c r="D42">
        <v>-80.365045178411037</v>
      </c>
      <c r="E42">
        <v>-74.135476124819434</v>
      </c>
      <c r="F42">
        <v>-67.905907071227816</v>
      </c>
      <c r="G42">
        <v>-61.676338017636198</v>
      </c>
      <c r="H42">
        <v>-55.446768964044601</v>
      </c>
      <c r="I42">
        <v>-49.21719991045299</v>
      </c>
      <c r="J42">
        <v>-42.987630856861379</v>
      </c>
      <c r="K42">
        <v>-36.758061803269783</v>
      </c>
      <c r="L42">
        <v>-30.528492749678161</v>
      </c>
      <c r="M42">
        <v>-24.29892369608655</v>
      </c>
      <c r="N42">
        <v>-18.06935464249494</v>
      </c>
      <c r="O42">
        <v>-11.839785588903339</v>
      </c>
      <c r="P42">
        <v>-5.6102165353117268</v>
      </c>
      <c r="Q42">
        <v>0.6193525182798828</v>
      </c>
      <c r="R42">
        <v>6.8489215718714913</v>
      </c>
      <c r="S42">
        <v>13.0784906254631</v>
      </c>
      <c r="T42">
        <v>19.308059679054711</v>
      </c>
      <c r="U42">
        <v>25.537628732646318</v>
      </c>
      <c r="V42">
        <v>31.767197786237929</v>
      </c>
      <c r="W42">
        <v>37.99676683982954</v>
      </c>
      <c r="X42">
        <v>44.226335893421151</v>
      </c>
      <c r="Y42">
        <v>50.455904947012748</v>
      </c>
      <c r="Z42">
        <v>56.685474000604373</v>
      </c>
      <c r="AA42">
        <v>62.915043054195969</v>
      </c>
      <c r="AB42">
        <v>69.14461210778758</v>
      </c>
      <c r="AC42">
        <v>75.374181161379198</v>
      </c>
      <c r="AD42">
        <v>81.603750214970802</v>
      </c>
      <c r="AE42">
        <v>87.83331926856242</v>
      </c>
      <c r="AF42">
        <v>94.062888322154009</v>
      </c>
      <c r="AG42">
        <v>100.2924573757456</v>
      </c>
      <c r="AH42">
        <v>106.5220264293372</v>
      </c>
      <c r="AI42">
        <v>112.75159548292881</v>
      </c>
      <c r="AJ42">
        <v>118.9811645365205</v>
      </c>
      <c r="AK42">
        <v>125.2107335901121</v>
      </c>
      <c r="AL42">
        <v>131.44030264370369</v>
      </c>
      <c r="AM42">
        <v>137.66987169729529</v>
      </c>
      <c r="AN42">
        <v>143.8994407508869</v>
      </c>
      <c r="AO42">
        <v>150.1290098044785</v>
      </c>
      <c r="AP42">
        <v>156.3585788580701</v>
      </c>
      <c r="AQ42">
        <v>162.58814791166171</v>
      </c>
      <c r="AR42">
        <v>168.81771696525331</v>
      </c>
      <c r="AS42">
        <v>175.04728601884489</v>
      </c>
      <c r="AT42">
        <v>181.27685507243649</v>
      </c>
      <c r="AU42">
        <v>187.50642412602821</v>
      </c>
      <c r="AV42">
        <v>193.73599317961981</v>
      </c>
      <c r="AW42">
        <v>199.96556223321139</v>
      </c>
      <c r="AX42">
        <v>206.19513128680299</v>
      </c>
      <c r="AY42">
        <v>212.42470034039459</v>
      </c>
      <c r="AZ42">
        <v>218.6542693939862</v>
      </c>
      <c r="BA42">
        <v>224.8838384475778</v>
      </c>
      <c r="BB42">
        <v>231.11340750116941</v>
      </c>
      <c r="BC42">
        <v>237.34297655476109</v>
      </c>
      <c r="BD42">
        <v>243.5725456083527</v>
      </c>
      <c r="BE42">
        <v>249.8021146619443</v>
      </c>
      <c r="BF42">
        <v>256.03168371553591</v>
      </c>
      <c r="BG42">
        <v>262.26125276912751</v>
      </c>
      <c r="BH42">
        <v>268.49082182271911</v>
      </c>
      <c r="BI42">
        <v>274.72039087631072</v>
      </c>
      <c r="BJ42">
        <v>280.94995992990232</v>
      </c>
      <c r="BK42">
        <v>287.17952898349392</v>
      </c>
      <c r="BL42">
        <v>293.40909803708553</v>
      </c>
      <c r="BM42">
        <v>299.63866709067707</v>
      </c>
      <c r="BN42">
        <v>305.86823614426879</v>
      </c>
      <c r="BO42">
        <v>312.0978051978604</v>
      </c>
      <c r="BP42">
        <v>318.32737425145189</v>
      </c>
      <c r="BQ42">
        <v>324.55694330504349</v>
      </c>
      <c r="BR42">
        <v>330.78651235863521</v>
      </c>
      <c r="BS42">
        <v>337.01608141222681</v>
      </c>
      <c r="BT42">
        <v>343.24565046581841</v>
      </c>
    </row>
    <row r="43" spans="1:72" x14ac:dyDescent="0.25">
      <c r="A43" s="1">
        <f t="shared" si="2"/>
        <v>105.59999999999989</v>
      </c>
      <c r="B43">
        <v>-95.510149440370327</v>
      </c>
      <c r="C43">
        <v>-89.285479614160437</v>
      </c>
      <c r="D43">
        <v>-83.060809787950561</v>
      </c>
      <c r="E43">
        <v>-76.836139961740685</v>
      </c>
      <c r="F43">
        <v>-70.611470135530794</v>
      </c>
      <c r="G43">
        <v>-64.386800309320918</v>
      </c>
      <c r="H43">
        <v>-58.162130483111042</v>
      </c>
      <c r="I43">
        <v>-51.937460656901159</v>
      </c>
      <c r="J43">
        <v>-45.712790830691283</v>
      </c>
      <c r="K43">
        <v>-39.4881210044814</v>
      </c>
      <c r="L43">
        <v>-33.263451178271517</v>
      </c>
      <c r="M43">
        <v>-27.03878135206164</v>
      </c>
      <c r="N43">
        <v>-20.814111525851761</v>
      </c>
      <c r="O43">
        <v>-14.589441699641879</v>
      </c>
      <c r="P43">
        <v>-8.364771873431998</v>
      </c>
      <c r="Q43">
        <v>-2.1401020472221188</v>
      </c>
      <c r="R43">
        <v>4.0845677789877612</v>
      </c>
      <c r="S43">
        <v>10.309237605197641</v>
      </c>
      <c r="T43">
        <v>16.533907431407521</v>
      </c>
      <c r="U43">
        <v>22.7585772576174</v>
      </c>
      <c r="V43">
        <v>28.98324708382728</v>
      </c>
      <c r="W43">
        <v>35.207916910037163</v>
      </c>
      <c r="X43">
        <v>41.432586736247039</v>
      </c>
      <c r="Y43">
        <v>47.657256562456922</v>
      </c>
      <c r="Z43">
        <v>53.881926388666798</v>
      </c>
      <c r="AA43">
        <v>60.106596214876681</v>
      </c>
      <c r="AB43">
        <v>66.331266041086565</v>
      </c>
      <c r="AC43">
        <v>72.555935867296441</v>
      </c>
      <c r="AD43">
        <v>78.780605693506331</v>
      </c>
      <c r="AE43">
        <v>85.005275519716193</v>
      </c>
      <c r="AF43">
        <v>91.229945345926083</v>
      </c>
      <c r="AG43">
        <v>97.454615172135959</v>
      </c>
      <c r="AH43">
        <v>103.67928499834581</v>
      </c>
      <c r="AI43">
        <v>109.9039548245557</v>
      </c>
      <c r="AJ43">
        <v>116.1286246507656</v>
      </c>
      <c r="AK43">
        <v>122.35329447697551</v>
      </c>
      <c r="AL43">
        <v>128.57796430318541</v>
      </c>
      <c r="AM43">
        <v>134.80263412939519</v>
      </c>
      <c r="AN43">
        <v>141.02730395560511</v>
      </c>
      <c r="AO43">
        <v>147.251973781815</v>
      </c>
      <c r="AP43">
        <v>153.47664360802489</v>
      </c>
      <c r="AQ43">
        <v>159.70131343423469</v>
      </c>
      <c r="AR43">
        <v>165.92598326044461</v>
      </c>
      <c r="AS43">
        <v>172.1506530866545</v>
      </c>
      <c r="AT43">
        <v>178.37532291286439</v>
      </c>
      <c r="AU43">
        <v>184.59999273907431</v>
      </c>
      <c r="AV43">
        <v>190.8246625652842</v>
      </c>
      <c r="AW43">
        <v>197.049332391494</v>
      </c>
      <c r="AX43">
        <v>203.2740022177039</v>
      </c>
      <c r="AY43">
        <v>209.49867204391381</v>
      </c>
      <c r="AZ43">
        <v>215.7233418701237</v>
      </c>
      <c r="BA43">
        <v>221.94801169633359</v>
      </c>
      <c r="BB43">
        <v>228.1726815225434</v>
      </c>
      <c r="BC43">
        <v>234.39735134875329</v>
      </c>
      <c r="BD43">
        <v>240.62202117496321</v>
      </c>
      <c r="BE43">
        <v>246.84669100117301</v>
      </c>
      <c r="BF43">
        <v>253.0713608273829</v>
      </c>
      <c r="BG43">
        <v>259.29603065359282</v>
      </c>
      <c r="BH43">
        <v>265.52070047980271</v>
      </c>
      <c r="BI43">
        <v>271.7453703060126</v>
      </c>
      <c r="BJ43">
        <v>277.97004013222249</v>
      </c>
      <c r="BK43">
        <v>284.19470995843233</v>
      </c>
      <c r="BL43">
        <v>290.41937978464222</v>
      </c>
      <c r="BM43">
        <v>296.64404961085211</v>
      </c>
      <c r="BN43">
        <v>302.86871943706188</v>
      </c>
      <c r="BO43">
        <v>309.09338926327189</v>
      </c>
      <c r="BP43">
        <v>315.31805908948178</v>
      </c>
      <c r="BQ43">
        <v>321.54272891569161</v>
      </c>
      <c r="BR43">
        <v>327.7673987419015</v>
      </c>
      <c r="BS43">
        <v>333.99206856811139</v>
      </c>
      <c r="BT43">
        <v>340.21673839432123</v>
      </c>
    </row>
    <row r="44" spans="1:72" x14ac:dyDescent="0.25">
      <c r="A44" s="1">
        <f t="shared" si="2"/>
        <v>107.39999999999989</v>
      </c>
      <c r="B44">
        <v>-98.192134346902023</v>
      </c>
      <c r="C44">
        <v>-91.972366018888025</v>
      </c>
      <c r="D44">
        <v>-85.75259769087404</v>
      </c>
      <c r="E44">
        <v>-79.532829362860042</v>
      </c>
      <c r="F44">
        <v>-73.313061034846058</v>
      </c>
      <c r="G44">
        <v>-67.093292706832074</v>
      </c>
      <c r="H44">
        <v>-60.87352437881809</v>
      </c>
      <c r="I44">
        <v>-54.653756050804091</v>
      </c>
      <c r="J44">
        <v>-48.433987722790107</v>
      </c>
      <c r="K44">
        <v>-42.214219394776123</v>
      </c>
      <c r="L44">
        <v>-35.994451066762132</v>
      </c>
      <c r="M44">
        <v>-29.77468273874814</v>
      </c>
      <c r="N44">
        <v>-23.554914410734149</v>
      </c>
      <c r="O44">
        <v>-17.335146082720161</v>
      </c>
      <c r="P44">
        <v>-11.115377754706181</v>
      </c>
      <c r="Q44">
        <v>-4.8956094266921868</v>
      </c>
      <c r="R44">
        <v>1.324158901321802</v>
      </c>
      <c r="S44">
        <v>7.5439272293357904</v>
      </c>
      <c r="T44">
        <v>13.763695557349781</v>
      </c>
      <c r="U44">
        <v>19.983463885363768</v>
      </c>
      <c r="V44">
        <v>26.20323221337776</v>
      </c>
      <c r="W44">
        <v>32.423000541391737</v>
      </c>
      <c r="X44">
        <v>38.642768869405728</v>
      </c>
      <c r="Y44">
        <v>44.862537197419726</v>
      </c>
      <c r="Z44">
        <v>51.082305525433711</v>
      </c>
      <c r="AA44">
        <v>57.302073853447702</v>
      </c>
      <c r="AB44">
        <v>63.521842181461693</v>
      </c>
      <c r="AC44">
        <v>69.741610509475677</v>
      </c>
      <c r="AD44">
        <v>75.961378837489661</v>
      </c>
      <c r="AE44">
        <v>82.18114716550366</v>
      </c>
      <c r="AF44">
        <v>88.400915493517644</v>
      </c>
      <c r="AG44">
        <v>94.620683821531628</v>
      </c>
      <c r="AH44">
        <v>100.8404521495456</v>
      </c>
      <c r="AI44">
        <v>107.0602204775596</v>
      </c>
      <c r="AJ44">
        <v>113.27998880557359</v>
      </c>
      <c r="AK44">
        <v>119.49975713358759</v>
      </c>
      <c r="AL44">
        <v>125.71952546160161</v>
      </c>
      <c r="AM44">
        <v>131.93929378961559</v>
      </c>
      <c r="AN44">
        <v>138.15906211762959</v>
      </c>
      <c r="AO44">
        <v>144.37883044564359</v>
      </c>
      <c r="AP44">
        <v>150.5985987736575</v>
      </c>
      <c r="AQ44">
        <v>156.8183671016715</v>
      </c>
      <c r="AR44">
        <v>163.0381354296855</v>
      </c>
      <c r="AS44">
        <v>169.25790375769949</v>
      </c>
      <c r="AT44">
        <v>175.47767208571349</v>
      </c>
      <c r="AU44">
        <v>181.69744041372749</v>
      </c>
      <c r="AV44">
        <v>187.91720874174149</v>
      </c>
      <c r="AW44">
        <v>194.13697706975549</v>
      </c>
      <c r="AX44">
        <v>200.3567453977694</v>
      </c>
      <c r="AY44">
        <v>206.5765137257834</v>
      </c>
      <c r="AZ44">
        <v>212.7962820537974</v>
      </c>
      <c r="BA44">
        <v>219.0160503818114</v>
      </c>
      <c r="BB44">
        <v>225.23581870982539</v>
      </c>
      <c r="BC44">
        <v>231.45558703783939</v>
      </c>
      <c r="BD44">
        <v>237.67535536585339</v>
      </c>
      <c r="BE44">
        <v>243.89512369386739</v>
      </c>
      <c r="BF44">
        <v>250.11489202188139</v>
      </c>
      <c r="BG44">
        <v>256.33466034989527</v>
      </c>
      <c r="BH44">
        <v>262.55442867790941</v>
      </c>
      <c r="BI44">
        <v>268.77419700592333</v>
      </c>
      <c r="BJ44">
        <v>274.9939653339373</v>
      </c>
      <c r="BK44">
        <v>281.21373366195132</v>
      </c>
      <c r="BL44">
        <v>287.43350198996529</v>
      </c>
      <c r="BM44">
        <v>293.65327031797932</v>
      </c>
      <c r="BN44">
        <v>299.87303864599318</v>
      </c>
      <c r="BO44">
        <v>306.09280697400732</v>
      </c>
      <c r="BP44">
        <v>312.31257530202117</v>
      </c>
      <c r="BQ44">
        <v>318.53234363003531</v>
      </c>
      <c r="BR44">
        <v>324.75211195804923</v>
      </c>
      <c r="BS44">
        <v>330.9718802860632</v>
      </c>
      <c r="BT44">
        <v>337.19164861407722</v>
      </c>
    </row>
    <row r="45" spans="1:72" x14ac:dyDescent="0.25">
      <c r="A45" s="1">
        <f t="shared" si="2"/>
        <v>109.19999999999989</v>
      </c>
      <c r="B45">
        <v>-100.8701374597522</v>
      </c>
      <c r="C45">
        <v>-94.655273130687348</v>
      </c>
      <c r="D45">
        <v>-88.440408801622468</v>
      </c>
      <c r="E45">
        <v>-82.225544472557559</v>
      </c>
      <c r="F45">
        <v>-76.010680143492678</v>
      </c>
      <c r="G45">
        <v>-69.795815814427783</v>
      </c>
      <c r="H45">
        <v>-63.580951485362888</v>
      </c>
      <c r="I45">
        <v>-57.366087156298001</v>
      </c>
      <c r="J45">
        <v>-51.151222827233113</v>
      </c>
      <c r="K45">
        <v>-44.936358498168211</v>
      </c>
      <c r="L45">
        <v>-38.721494169103323</v>
      </c>
      <c r="M45">
        <v>-32.506629840038428</v>
      </c>
      <c r="N45">
        <v>-26.291765510973541</v>
      </c>
      <c r="O45">
        <v>-20.076901181908649</v>
      </c>
      <c r="P45">
        <v>-13.862036852843749</v>
      </c>
      <c r="Q45">
        <v>-7.6471725237788606</v>
      </c>
      <c r="R45">
        <v>-1.432308194713968</v>
      </c>
      <c r="S45">
        <v>4.7825561343509246</v>
      </c>
      <c r="T45">
        <v>10.997420463415819</v>
      </c>
      <c r="U45">
        <v>17.212284792480709</v>
      </c>
      <c r="V45">
        <v>23.4271491215456</v>
      </c>
      <c r="W45">
        <v>29.642013450610492</v>
      </c>
      <c r="X45">
        <v>35.856877779675393</v>
      </c>
      <c r="Y45">
        <v>42.071742108740267</v>
      </c>
      <c r="Z45">
        <v>48.286606437805169</v>
      </c>
      <c r="AA45">
        <v>54.501470766870057</v>
      </c>
      <c r="AB45">
        <v>60.716335095934951</v>
      </c>
      <c r="AC45">
        <v>66.931199424999846</v>
      </c>
      <c r="AD45">
        <v>73.146063754064741</v>
      </c>
      <c r="AE45">
        <v>79.360928083129622</v>
      </c>
      <c r="AF45">
        <v>85.575792412194531</v>
      </c>
      <c r="AG45">
        <v>91.790656741259411</v>
      </c>
      <c r="AH45">
        <v>98.005521070324306</v>
      </c>
      <c r="AI45">
        <v>104.2203853993892</v>
      </c>
      <c r="AJ45">
        <v>110.4352497284541</v>
      </c>
      <c r="AK45">
        <v>116.650114057519</v>
      </c>
      <c r="AL45">
        <v>122.8649783865839</v>
      </c>
      <c r="AM45">
        <v>129.07984271564879</v>
      </c>
      <c r="AN45">
        <v>135.2947070447137</v>
      </c>
      <c r="AO45">
        <v>141.50957137377861</v>
      </c>
      <c r="AP45">
        <v>147.72443570284341</v>
      </c>
      <c r="AQ45">
        <v>153.93930003190829</v>
      </c>
      <c r="AR45">
        <v>160.1541643609732</v>
      </c>
      <c r="AS45">
        <v>166.36902869003811</v>
      </c>
      <c r="AT45">
        <v>172.58389301910299</v>
      </c>
      <c r="AU45">
        <v>178.7987573481679</v>
      </c>
      <c r="AV45">
        <v>185.01362167723281</v>
      </c>
      <c r="AW45">
        <v>191.22848600629769</v>
      </c>
      <c r="AX45">
        <v>197.4433503353626</v>
      </c>
      <c r="AY45">
        <v>203.65821466442739</v>
      </c>
      <c r="AZ45">
        <v>209.87307899349241</v>
      </c>
      <c r="BA45">
        <v>216.08794332255721</v>
      </c>
      <c r="BB45">
        <v>222.30280765162209</v>
      </c>
      <c r="BC45">
        <v>228.51767198068711</v>
      </c>
      <c r="BD45">
        <v>234.73253630975191</v>
      </c>
      <c r="BE45">
        <v>240.94740063881679</v>
      </c>
      <c r="BF45">
        <v>247.1622649678817</v>
      </c>
      <c r="BG45">
        <v>253.37712929694661</v>
      </c>
      <c r="BH45">
        <v>259.59199362601152</v>
      </c>
      <c r="BI45">
        <v>265.8068579550764</v>
      </c>
      <c r="BJ45">
        <v>272.02172228414128</v>
      </c>
      <c r="BK45">
        <v>278.23658661320621</v>
      </c>
      <c r="BL45">
        <v>284.45145094227098</v>
      </c>
      <c r="BM45">
        <v>290.66631527133598</v>
      </c>
      <c r="BN45">
        <v>296.8811796004008</v>
      </c>
      <c r="BO45">
        <v>303.09604392946568</v>
      </c>
      <c r="BP45">
        <v>309.31090825853062</v>
      </c>
      <c r="BQ45">
        <v>315.5257725875955</v>
      </c>
      <c r="BR45">
        <v>321.74063691666038</v>
      </c>
      <c r="BS45">
        <v>327.95550124572532</v>
      </c>
      <c r="BT45">
        <v>334.1703655747902</v>
      </c>
    </row>
    <row r="46" spans="1:72" x14ac:dyDescent="0.25">
      <c r="A46" s="1">
        <f t="shared" si="2"/>
        <v>110.99999999999989</v>
      </c>
      <c r="B46">
        <v>-103.544157689507</v>
      </c>
      <c r="C46">
        <v>-97.334200097527599</v>
      </c>
      <c r="D46">
        <v>-91.124242505548253</v>
      </c>
      <c r="E46">
        <v>-84.914284913568892</v>
      </c>
      <c r="F46">
        <v>-78.704327321589531</v>
      </c>
      <c r="G46">
        <v>-72.49436972961017</v>
      </c>
      <c r="H46">
        <v>-66.28441213763081</v>
      </c>
      <c r="I46">
        <v>-60.074454545651449</v>
      </c>
      <c r="J46">
        <v>-53.864496953672088</v>
      </c>
      <c r="K46">
        <v>-47.654539361692727</v>
      </c>
      <c r="L46">
        <v>-41.444581769713373</v>
      </c>
      <c r="M46">
        <v>-35.234624177734013</v>
      </c>
      <c r="N46">
        <v>-29.024666585754652</v>
      </c>
      <c r="O46">
        <v>-22.814708993775291</v>
      </c>
      <c r="P46">
        <v>-16.60475140179593</v>
      </c>
      <c r="Q46">
        <v>-10.394793809816569</v>
      </c>
      <c r="R46">
        <v>-4.1848362178372103</v>
      </c>
      <c r="S46">
        <v>2.0251213741421501</v>
      </c>
      <c r="T46">
        <v>8.2350789661215096</v>
      </c>
      <c r="U46">
        <v>14.44503655810087</v>
      </c>
      <c r="V46">
        <v>20.654994150080231</v>
      </c>
      <c r="W46">
        <v>26.864951742059588</v>
      </c>
      <c r="X46">
        <v>33.074909334038949</v>
      </c>
      <c r="Y46">
        <v>39.28486692601831</v>
      </c>
      <c r="Z46">
        <v>45.494824517997671</v>
      </c>
      <c r="AA46">
        <v>51.704782109977018</v>
      </c>
      <c r="AB46">
        <v>57.914739701956393</v>
      </c>
      <c r="AC46">
        <v>64.124697293935753</v>
      </c>
      <c r="AD46">
        <v>70.334654885915114</v>
      </c>
      <c r="AE46">
        <v>76.544612477894475</v>
      </c>
      <c r="AF46">
        <v>82.754570069873822</v>
      </c>
      <c r="AG46">
        <v>88.964527661853182</v>
      </c>
      <c r="AH46">
        <v>95.174485253832557</v>
      </c>
      <c r="AI46">
        <v>101.3844428458119</v>
      </c>
      <c r="AJ46">
        <v>107.59440043779129</v>
      </c>
      <c r="AK46">
        <v>113.8043580297706</v>
      </c>
      <c r="AL46">
        <v>120.01431562175</v>
      </c>
      <c r="AM46">
        <v>126.2242732137293</v>
      </c>
      <c r="AN46">
        <v>132.43423080570869</v>
      </c>
      <c r="AO46">
        <v>138.64418839768811</v>
      </c>
      <c r="AP46">
        <v>144.85414598966739</v>
      </c>
      <c r="AQ46">
        <v>151.0641035816468</v>
      </c>
      <c r="AR46">
        <v>157.27406117362611</v>
      </c>
      <c r="AS46">
        <v>163.4840187656055</v>
      </c>
      <c r="AT46">
        <v>169.69397635758489</v>
      </c>
      <c r="AU46">
        <v>175.90393394956419</v>
      </c>
      <c r="AV46">
        <v>182.11389154154361</v>
      </c>
      <c r="AW46">
        <v>188.32384913352291</v>
      </c>
      <c r="AX46">
        <v>194.5338067255023</v>
      </c>
      <c r="AY46">
        <v>200.74376431748169</v>
      </c>
      <c r="AZ46">
        <v>206.953721909461</v>
      </c>
      <c r="BA46">
        <v>213.16367950144041</v>
      </c>
      <c r="BB46">
        <v>219.37363709341969</v>
      </c>
      <c r="BC46">
        <v>225.58359468539911</v>
      </c>
      <c r="BD46">
        <v>231.7935522773785</v>
      </c>
      <c r="BE46">
        <v>238.0035098693578</v>
      </c>
      <c r="BF46">
        <v>244.21346746133719</v>
      </c>
      <c r="BG46">
        <v>250.42342505331661</v>
      </c>
      <c r="BH46">
        <v>256.63338264529591</v>
      </c>
      <c r="BI46">
        <v>262.84334023727519</v>
      </c>
      <c r="BJ46">
        <v>269.05329782925457</v>
      </c>
      <c r="BK46">
        <v>275.26325542123402</v>
      </c>
      <c r="BL46">
        <v>281.47321301321341</v>
      </c>
      <c r="BM46">
        <v>287.68317060519269</v>
      </c>
      <c r="BN46">
        <v>293.89312819717208</v>
      </c>
      <c r="BO46">
        <v>300.10308578915141</v>
      </c>
      <c r="BP46">
        <v>306.3130433811308</v>
      </c>
      <c r="BQ46">
        <v>312.52300097311007</v>
      </c>
      <c r="BR46">
        <v>318.73295856508952</v>
      </c>
      <c r="BS46">
        <v>324.94291615706891</v>
      </c>
      <c r="BT46">
        <v>331.15287374904818</v>
      </c>
    </row>
    <row r="47" spans="1:72" x14ac:dyDescent="0.25">
      <c r="A47" s="1">
        <f t="shared" si="2"/>
        <v>112.79999999999988</v>
      </c>
      <c r="B47">
        <v>-106.2141933872882</v>
      </c>
      <c r="C47">
        <v>-100.0091455152664</v>
      </c>
      <c r="D47">
        <v>-93.804097643244674</v>
      </c>
      <c r="E47">
        <v>-87.59904977122288</v>
      </c>
      <c r="F47">
        <v>-81.394001899201101</v>
      </c>
      <c r="G47">
        <v>-75.188954027179307</v>
      </c>
      <c r="H47">
        <v>-68.983906155157513</v>
      </c>
      <c r="I47">
        <v>-62.77885828313574</v>
      </c>
      <c r="J47">
        <v>-56.573810411113953</v>
      </c>
      <c r="K47">
        <v>-50.368762539092167</v>
      </c>
      <c r="L47">
        <v>-44.16371466707038</v>
      </c>
      <c r="M47">
        <v>-37.958666795048593</v>
      </c>
      <c r="N47">
        <v>-31.75361892302681</v>
      </c>
      <c r="O47">
        <v>-25.54857105100502</v>
      </c>
      <c r="P47">
        <v>-19.34352317898324</v>
      </c>
      <c r="Q47">
        <v>-13.13847530696145</v>
      </c>
      <c r="R47">
        <v>-6.9334274349396656</v>
      </c>
      <c r="S47">
        <v>-0.72837956291788086</v>
      </c>
      <c r="T47">
        <v>5.4766683091039052</v>
      </c>
      <c r="U47">
        <v>11.68171618112569</v>
      </c>
      <c r="V47">
        <v>17.886764053147481</v>
      </c>
      <c r="W47">
        <v>24.09181192516926</v>
      </c>
      <c r="X47">
        <v>30.29685979719105</v>
      </c>
      <c r="Y47">
        <v>36.501907669212827</v>
      </c>
      <c r="Z47">
        <v>42.70695554123462</v>
      </c>
      <c r="AA47">
        <v>48.9120034132564</v>
      </c>
      <c r="AB47">
        <v>55.117051285278187</v>
      </c>
      <c r="AC47">
        <v>61.322099157299967</v>
      </c>
      <c r="AD47">
        <v>67.527147029321753</v>
      </c>
      <c r="AE47">
        <v>73.732194901343547</v>
      </c>
      <c r="AF47">
        <v>79.937242773365341</v>
      </c>
      <c r="AG47">
        <v>86.142290645387121</v>
      </c>
      <c r="AH47">
        <v>92.3473385174089</v>
      </c>
      <c r="AI47">
        <v>98.552386389430694</v>
      </c>
      <c r="AJ47">
        <v>104.7574342614525</v>
      </c>
      <c r="AK47">
        <v>110.9624821334743</v>
      </c>
      <c r="AL47">
        <v>117.167530005496</v>
      </c>
      <c r="AM47">
        <v>123.3725778775178</v>
      </c>
      <c r="AN47">
        <v>129.57762574953961</v>
      </c>
      <c r="AO47">
        <v>135.7826736215614</v>
      </c>
      <c r="AP47">
        <v>141.98772149358319</v>
      </c>
      <c r="AQ47">
        <v>148.19276936560499</v>
      </c>
      <c r="AR47">
        <v>154.39781723762681</v>
      </c>
      <c r="AS47">
        <v>160.60286510964849</v>
      </c>
      <c r="AT47">
        <v>166.80791298167031</v>
      </c>
      <c r="AU47">
        <v>173.01296085369211</v>
      </c>
      <c r="AV47">
        <v>179.2180087257139</v>
      </c>
      <c r="AW47">
        <v>185.42305659773569</v>
      </c>
      <c r="AX47">
        <v>191.62810446975749</v>
      </c>
      <c r="AY47">
        <v>197.83315234177931</v>
      </c>
      <c r="AZ47">
        <v>204.03820021380099</v>
      </c>
      <c r="BA47">
        <v>210.24324808582281</v>
      </c>
      <c r="BB47">
        <v>216.44829595784461</v>
      </c>
      <c r="BC47">
        <v>222.6533438298664</v>
      </c>
      <c r="BD47">
        <v>228.85839170188819</v>
      </c>
      <c r="BE47">
        <v>235.06343957390999</v>
      </c>
      <c r="BF47">
        <v>241.26848744593181</v>
      </c>
      <c r="BG47">
        <v>247.47353531795349</v>
      </c>
      <c r="BH47">
        <v>253.67858318997531</v>
      </c>
      <c r="BI47">
        <v>259.88363106199711</v>
      </c>
      <c r="BJ47">
        <v>266.08867893401879</v>
      </c>
      <c r="BK47">
        <v>272.29372680604058</v>
      </c>
      <c r="BL47">
        <v>278.49877467806238</v>
      </c>
      <c r="BM47">
        <v>284.70382255008428</v>
      </c>
      <c r="BN47">
        <v>290.90887042210602</v>
      </c>
      <c r="BO47">
        <v>297.11391829412781</v>
      </c>
      <c r="BP47">
        <v>303.31896616614961</v>
      </c>
      <c r="BQ47">
        <v>309.52401403817129</v>
      </c>
      <c r="BR47">
        <v>315.72906191019308</v>
      </c>
      <c r="BS47">
        <v>321.93410978221499</v>
      </c>
      <c r="BT47">
        <v>328.13915765423673</v>
      </c>
    </row>
    <row r="48" spans="1:72" x14ac:dyDescent="0.25">
      <c r="A48" s="1">
        <f t="shared" si="2"/>
        <v>114.59999999999988</v>
      </c>
      <c r="B48">
        <v>-108.8802423295776</v>
      </c>
      <c r="C48">
        <v>-102.6801074123765</v>
      </c>
      <c r="D48">
        <v>-96.479972495175332</v>
      </c>
      <c r="E48">
        <v>-90.279837577974192</v>
      </c>
      <c r="F48">
        <v>-84.079702660773037</v>
      </c>
      <c r="G48">
        <v>-77.879567743571883</v>
      </c>
      <c r="H48">
        <v>-71.679432826370743</v>
      </c>
      <c r="I48">
        <v>-65.479297909169588</v>
      </c>
      <c r="J48">
        <v>-59.279162991968462</v>
      </c>
      <c r="K48">
        <v>-53.079028074767301</v>
      </c>
      <c r="L48">
        <v>-46.878893157566146</v>
      </c>
      <c r="M48">
        <v>-40.678758240365013</v>
      </c>
      <c r="N48">
        <v>-34.478623323163859</v>
      </c>
      <c r="O48">
        <v>-28.278488405962719</v>
      </c>
      <c r="P48">
        <v>-22.078353488761572</v>
      </c>
      <c r="Q48">
        <v>-15.878218571560421</v>
      </c>
      <c r="R48">
        <v>-9.6780836543592752</v>
      </c>
      <c r="S48">
        <v>-3.4779487371581279</v>
      </c>
      <c r="T48">
        <v>2.722186180043018</v>
      </c>
      <c r="U48">
        <v>8.9223210972441667</v>
      </c>
      <c r="V48">
        <v>15.12245601444531</v>
      </c>
      <c r="W48">
        <v>21.322590931646459</v>
      </c>
      <c r="X48">
        <v>27.5227258488476</v>
      </c>
      <c r="Y48">
        <v>33.722860766048747</v>
      </c>
      <c r="Z48">
        <v>39.922995683249901</v>
      </c>
      <c r="AA48">
        <v>46.123130600451049</v>
      </c>
      <c r="AB48">
        <v>52.323265517652189</v>
      </c>
      <c r="AC48">
        <v>58.523400434853343</v>
      </c>
      <c r="AD48">
        <v>64.723535352054483</v>
      </c>
      <c r="AE48">
        <v>70.923670269255624</v>
      </c>
      <c r="AF48">
        <v>77.123805186456778</v>
      </c>
      <c r="AG48">
        <v>83.323940103657932</v>
      </c>
      <c r="AH48">
        <v>89.524075020859073</v>
      </c>
      <c r="AI48">
        <v>95.724209938060227</v>
      </c>
      <c r="AJ48">
        <v>101.9243448552614</v>
      </c>
      <c r="AK48">
        <v>108.12447977246249</v>
      </c>
      <c r="AL48">
        <v>114.3246146896636</v>
      </c>
      <c r="AM48">
        <v>120.5247496068648</v>
      </c>
      <c r="AN48">
        <v>126.724884524066</v>
      </c>
      <c r="AO48">
        <v>132.9250194412671</v>
      </c>
      <c r="AP48">
        <v>139.12515435846831</v>
      </c>
      <c r="AQ48">
        <v>145.32528927566941</v>
      </c>
      <c r="AR48">
        <v>151.5254241928705</v>
      </c>
      <c r="AS48">
        <v>157.72555911007171</v>
      </c>
      <c r="AT48">
        <v>163.92569402727281</v>
      </c>
      <c r="AU48">
        <v>170.12582894447399</v>
      </c>
      <c r="AV48">
        <v>176.32596386167509</v>
      </c>
      <c r="AW48">
        <v>182.5260987788763</v>
      </c>
      <c r="AX48">
        <v>188.7262336960774</v>
      </c>
      <c r="AY48">
        <v>194.92636861327861</v>
      </c>
      <c r="AZ48">
        <v>201.12650353047971</v>
      </c>
      <c r="BA48">
        <v>207.32663844768089</v>
      </c>
      <c r="BB48">
        <v>213.52677336488199</v>
      </c>
      <c r="BC48">
        <v>219.7269082820832</v>
      </c>
      <c r="BD48">
        <v>225.9270431992843</v>
      </c>
      <c r="BE48">
        <v>232.12717811648551</v>
      </c>
      <c r="BF48">
        <v>238.32731303368661</v>
      </c>
      <c r="BG48">
        <v>244.52744795088779</v>
      </c>
      <c r="BH48">
        <v>250.72758286808889</v>
      </c>
      <c r="BI48">
        <v>256.92771778528999</v>
      </c>
      <c r="BJ48">
        <v>263.12785270249123</v>
      </c>
      <c r="BK48">
        <v>269.32798761969241</v>
      </c>
      <c r="BL48">
        <v>275.52812253689348</v>
      </c>
      <c r="BM48">
        <v>281.72825745409472</v>
      </c>
      <c r="BN48">
        <v>287.92839237129579</v>
      </c>
      <c r="BO48">
        <v>294.12852728849703</v>
      </c>
      <c r="BP48">
        <v>300.32866220569809</v>
      </c>
      <c r="BQ48">
        <v>306.52879712289922</v>
      </c>
      <c r="BR48">
        <v>312.7289320401004</v>
      </c>
      <c r="BS48">
        <v>318.92906695730147</v>
      </c>
      <c r="BT48">
        <v>325.12920187450271</v>
      </c>
    </row>
    <row r="49" spans="1:72" x14ac:dyDescent="0.25">
      <c r="A49" s="1">
        <f t="shared" si="2"/>
        <v>116.39999999999988</v>
      </c>
      <c r="B49">
        <v>-111.5423017033377</v>
      </c>
      <c r="C49">
        <v>-105.34708323496621</v>
      </c>
      <c r="D49">
        <v>-99.151864766594755</v>
      </c>
      <c r="E49">
        <v>-92.956646298223276</v>
      </c>
      <c r="F49">
        <v>-86.761427829851812</v>
      </c>
      <c r="G49">
        <v>-80.566209361480333</v>
      </c>
      <c r="H49">
        <v>-74.370990893108868</v>
      </c>
      <c r="I49">
        <v>-68.175772424737403</v>
      </c>
      <c r="J49">
        <v>-61.980553956365938</v>
      </c>
      <c r="K49">
        <v>-55.785335487994473</v>
      </c>
      <c r="L49">
        <v>-49.590117019623001</v>
      </c>
      <c r="M49">
        <v>-43.394898551251529</v>
      </c>
      <c r="N49">
        <v>-37.199680082880057</v>
      </c>
      <c r="O49">
        <v>-31.004461614508589</v>
      </c>
      <c r="P49">
        <v>-24.809243146137121</v>
      </c>
      <c r="Q49">
        <v>-18.614024677765649</v>
      </c>
      <c r="R49">
        <v>-12.418806209394191</v>
      </c>
      <c r="S49">
        <v>-6.2235877410227154</v>
      </c>
      <c r="T49">
        <v>-2.836927265124688E-2</v>
      </c>
      <c r="U49">
        <v>6.1668491957202214</v>
      </c>
      <c r="V49">
        <v>12.36206766409169</v>
      </c>
      <c r="W49">
        <v>18.557286132463162</v>
      </c>
      <c r="X49">
        <v>24.75250460083463</v>
      </c>
      <c r="Y49">
        <v>30.947723069206099</v>
      </c>
      <c r="Z49">
        <v>37.142941537577563</v>
      </c>
      <c r="AA49">
        <v>43.338160005949042</v>
      </c>
      <c r="AB49">
        <v>49.533378474320507</v>
      </c>
      <c r="AC49">
        <v>55.728596942691979</v>
      </c>
      <c r="AD49">
        <v>61.923815411063437</v>
      </c>
      <c r="AE49">
        <v>68.119033879434909</v>
      </c>
      <c r="AF49">
        <v>74.314252347806374</v>
      </c>
      <c r="AG49">
        <v>80.509470816177853</v>
      </c>
      <c r="AH49">
        <v>86.704689284549318</v>
      </c>
      <c r="AI49">
        <v>92.899907752920782</v>
      </c>
      <c r="AJ49">
        <v>99.095126221292261</v>
      </c>
      <c r="AK49">
        <v>105.2903446896637</v>
      </c>
      <c r="AL49">
        <v>111.48556315803521</v>
      </c>
      <c r="AM49">
        <v>117.6807816264067</v>
      </c>
      <c r="AN49">
        <v>123.87600009477811</v>
      </c>
      <c r="AO49">
        <v>130.07121856314961</v>
      </c>
      <c r="AP49">
        <v>136.26643703152109</v>
      </c>
      <c r="AQ49">
        <v>142.46165549989249</v>
      </c>
      <c r="AR49">
        <v>148.65687396826399</v>
      </c>
      <c r="AS49">
        <v>154.8520924366355</v>
      </c>
      <c r="AT49">
        <v>161.0473109050069</v>
      </c>
      <c r="AU49">
        <v>167.2425293733784</v>
      </c>
      <c r="AV49">
        <v>173.43774784174991</v>
      </c>
      <c r="AW49">
        <v>179.6329663101213</v>
      </c>
      <c r="AX49">
        <v>185.82818477849281</v>
      </c>
      <c r="AY49">
        <v>192.02340324686429</v>
      </c>
      <c r="AZ49">
        <v>198.2186217152358</v>
      </c>
      <c r="BA49">
        <v>204.41384018360719</v>
      </c>
      <c r="BB49">
        <v>210.6090586519787</v>
      </c>
      <c r="BC49">
        <v>216.80427712035021</v>
      </c>
      <c r="BD49">
        <v>222.9994955887216</v>
      </c>
      <c r="BE49">
        <v>229.19471405709311</v>
      </c>
      <c r="BF49">
        <v>235.38993252546459</v>
      </c>
      <c r="BG49">
        <v>241.58515099383601</v>
      </c>
      <c r="BH49">
        <v>247.78036946220749</v>
      </c>
      <c r="BI49">
        <v>253.975587930579</v>
      </c>
      <c r="BJ49">
        <v>260.17080639895039</v>
      </c>
      <c r="BK49">
        <v>266.36602486732193</v>
      </c>
      <c r="BL49">
        <v>272.56124333569329</v>
      </c>
      <c r="BM49">
        <v>278.75646180406483</v>
      </c>
      <c r="BN49">
        <v>284.95168027243631</v>
      </c>
      <c r="BO49">
        <v>291.14689874080773</v>
      </c>
      <c r="BP49">
        <v>297.34211720917932</v>
      </c>
      <c r="BQ49">
        <v>303.53733567755069</v>
      </c>
      <c r="BR49">
        <v>309.73255414592222</v>
      </c>
      <c r="BS49">
        <v>315.92777261429359</v>
      </c>
      <c r="BT49">
        <v>322.12299108266512</v>
      </c>
    </row>
    <row r="50" spans="1:72" x14ac:dyDescent="0.25">
      <c r="A50" s="1">
        <f t="shared" si="2"/>
        <v>118.19999999999987</v>
      </c>
      <c r="B50">
        <v>-114.20036809141379</v>
      </c>
      <c r="C50">
        <v>-108.01006983207949</v>
      </c>
      <c r="D50">
        <v>-101.8197715727452</v>
      </c>
      <c r="E50">
        <v>-95.629473313410998</v>
      </c>
      <c r="F50">
        <v>-89.439175054076742</v>
      </c>
      <c r="G50">
        <v>-83.248876794742472</v>
      </c>
      <c r="H50">
        <v>-77.058578535408216</v>
      </c>
      <c r="I50">
        <v>-70.868280276073975</v>
      </c>
      <c r="J50">
        <v>-64.677982016739719</v>
      </c>
      <c r="K50">
        <v>-58.487683757405463</v>
      </c>
      <c r="L50">
        <v>-52.297385498071208</v>
      </c>
      <c r="M50">
        <v>-46.107087238736952</v>
      </c>
      <c r="N50">
        <v>-39.916788979402703</v>
      </c>
      <c r="O50">
        <v>-33.726490720068441</v>
      </c>
      <c r="P50">
        <v>-27.536192460734188</v>
      </c>
      <c r="Q50">
        <v>-21.34589420139994</v>
      </c>
      <c r="R50">
        <v>-15.155595942065681</v>
      </c>
      <c r="S50">
        <v>-8.9652976827314266</v>
      </c>
      <c r="T50">
        <v>-2.7749994233971722</v>
      </c>
      <c r="U50">
        <v>3.4152988359370822</v>
      </c>
      <c r="V50">
        <v>9.605597095271337</v>
      </c>
      <c r="W50">
        <v>15.795895354605589</v>
      </c>
      <c r="X50">
        <v>21.98619361393985</v>
      </c>
      <c r="Y50">
        <v>28.176491873274099</v>
      </c>
      <c r="Z50">
        <v>34.366790132608358</v>
      </c>
      <c r="AA50">
        <v>40.557088391942607</v>
      </c>
      <c r="AB50">
        <v>46.747386651276862</v>
      </c>
      <c r="AC50">
        <v>52.937684910611118</v>
      </c>
      <c r="AD50">
        <v>59.127983169945381</v>
      </c>
      <c r="AE50">
        <v>65.318281429279637</v>
      </c>
      <c r="AF50">
        <v>71.508579688613878</v>
      </c>
      <c r="AG50">
        <v>77.698877947948134</v>
      </c>
      <c r="AH50">
        <v>83.889176207282389</v>
      </c>
      <c r="AI50">
        <v>90.079474466616645</v>
      </c>
      <c r="AJ50">
        <v>96.269772725950901</v>
      </c>
      <c r="AK50">
        <v>102.4600709852852</v>
      </c>
      <c r="AL50">
        <v>108.6503692446194</v>
      </c>
      <c r="AM50">
        <v>114.8406675039537</v>
      </c>
      <c r="AN50">
        <v>121.0309657632879</v>
      </c>
      <c r="AO50">
        <v>127.22126402262219</v>
      </c>
      <c r="AP50">
        <v>133.41156228195641</v>
      </c>
      <c r="AQ50">
        <v>139.6018605412907</v>
      </c>
      <c r="AR50">
        <v>145.79215880062489</v>
      </c>
      <c r="AS50">
        <v>151.98245705995919</v>
      </c>
      <c r="AT50">
        <v>158.17275531929349</v>
      </c>
      <c r="AU50">
        <v>164.3630535786277</v>
      </c>
      <c r="AV50">
        <v>170.553351837962</v>
      </c>
      <c r="AW50">
        <v>176.74365009729621</v>
      </c>
      <c r="AX50">
        <v>182.93394835663051</v>
      </c>
      <c r="AY50">
        <v>189.12424661596469</v>
      </c>
      <c r="AZ50">
        <v>195.31454487529899</v>
      </c>
      <c r="BA50">
        <v>201.50484313463321</v>
      </c>
      <c r="BB50">
        <v>207.6951413939675</v>
      </c>
      <c r="BC50">
        <v>213.88543965330169</v>
      </c>
      <c r="BD50">
        <v>220.07573791263599</v>
      </c>
      <c r="BE50">
        <v>226.26603617197031</v>
      </c>
      <c r="BF50">
        <v>232.4563344313045</v>
      </c>
      <c r="BG50">
        <v>238.6466326906388</v>
      </c>
      <c r="BH50">
        <v>244.83693094997301</v>
      </c>
      <c r="BI50">
        <v>251.02722920930731</v>
      </c>
      <c r="BJ50">
        <v>257.21752746864149</v>
      </c>
      <c r="BK50">
        <v>263.40782572797582</v>
      </c>
      <c r="BL50">
        <v>269.59812398730998</v>
      </c>
      <c r="BM50">
        <v>275.7884222466443</v>
      </c>
      <c r="BN50">
        <v>281.97872050597857</v>
      </c>
      <c r="BO50">
        <v>288.16901876531279</v>
      </c>
      <c r="BP50">
        <v>294.35931702464711</v>
      </c>
      <c r="BQ50">
        <v>300.54961528398132</v>
      </c>
      <c r="BR50">
        <v>306.73991354331548</v>
      </c>
      <c r="BS50">
        <v>312.93021180264981</v>
      </c>
      <c r="BT50">
        <v>319.12051006198408</v>
      </c>
    </row>
    <row r="51" spans="1:72" x14ac:dyDescent="0.25">
      <c r="A51" s="1">
        <f t="shared" si="2"/>
        <v>119.99999999999987</v>
      </c>
      <c r="B51">
        <v>-116.8544374581944</v>
      </c>
      <c r="C51">
        <v>-110.669063441253</v>
      </c>
      <c r="D51">
        <v>-104.48368942431161</v>
      </c>
      <c r="E51">
        <v>-98.298315407370254</v>
      </c>
      <c r="F51">
        <v>-92.112941390428873</v>
      </c>
      <c r="G51">
        <v>-85.92756737348752</v>
      </c>
      <c r="H51">
        <v>-79.742193356546139</v>
      </c>
      <c r="I51">
        <v>-73.556819339604758</v>
      </c>
      <c r="J51">
        <v>-67.371445322663391</v>
      </c>
      <c r="K51">
        <v>-61.186071305722017</v>
      </c>
      <c r="L51">
        <v>-55.000697288780643</v>
      </c>
      <c r="M51">
        <v>-48.815323271839283</v>
      </c>
      <c r="N51">
        <v>-42.629949254897888</v>
      </c>
      <c r="O51">
        <v>-36.444575237956521</v>
      </c>
      <c r="P51">
        <v>-30.25920122101515</v>
      </c>
      <c r="Q51">
        <v>-24.07382720407378</v>
      </c>
      <c r="R51">
        <v>-17.888453187132409</v>
      </c>
      <c r="S51">
        <v>-11.70307917019103</v>
      </c>
      <c r="T51">
        <v>-5.5177051532496604</v>
      </c>
      <c r="U51">
        <v>0.66766886369171208</v>
      </c>
      <c r="V51">
        <v>6.853042880633085</v>
      </c>
      <c r="W51">
        <v>13.038416897574461</v>
      </c>
      <c r="X51">
        <v>19.223790914515831</v>
      </c>
      <c r="Y51">
        <v>25.409164931457209</v>
      </c>
      <c r="Z51">
        <v>31.594538948398579</v>
      </c>
      <c r="AA51">
        <v>37.779912965339953</v>
      </c>
      <c r="AB51">
        <v>43.965286982281327</v>
      </c>
      <c r="AC51">
        <v>50.150660999222687</v>
      </c>
      <c r="AD51">
        <v>56.336035016164082</v>
      </c>
      <c r="AE51">
        <v>62.521409033105442</v>
      </c>
      <c r="AF51">
        <v>68.706783050046809</v>
      </c>
      <c r="AG51">
        <v>74.892157066988176</v>
      </c>
      <c r="AH51">
        <v>81.077531083929557</v>
      </c>
      <c r="AI51">
        <v>87.262905100870938</v>
      </c>
      <c r="AJ51">
        <v>93.448279117812305</v>
      </c>
      <c r="AK51">
        <v>99.633653134753686</v>
      </c>
      <c r="AL51">
        <v>105.819027151695</v>
      </c>
      <c r="AM51">
        <v>112.00440116863641</v>
      </c>
      <c r="AN51">
        <v>118.1897751855778</v>
      </c>
      <c r="AO51">
        <v>124.3751492025192</v>
      </c>
      <c r="AP51">
        <v>130.56052321946049</v>
      </c>
      <c r="AQ51">
        <v>136.7458972364019</v>
      </c>
      <c r="AR51">
        <v>142.93127125334331</v>
      </c>
      <c r="AS51">
        <v>149.11664527028469</v>
      </c>
      <c r="AT51">
        <v>155.30201928722599</v>
      </c>
      <c r="AU51">
        <v>161.4873933041674</v>
      </c>
      <c r="AV51">
        <v>167.67276732110881</v>
      </c>
      <c r="AW51">
        <v>173.85814133805019</v>
      </c>
      <c r="AX51">
        <v>180.04351535499151</v>
      </c>
      <c r="AY51">
        <v>186.22888937193289</v>
      </c>
      <c r="AZ51">
        <v>192.41426338887419</v>
      </c>
      <c r="BA51">
        <v>198.59963740581571</v>
      </c>
      <c r="BB51">
        <v>204.78501142275701</v>
      </c>
      <c r="BC51">
        <v>210.97038543969839</v>
      </c>
      <c r="BD51">
        <v>217.1557594566398</v>
      </c>
      <c r="BE51">
        <v>223.34113347358121</v>
      </c>
      <c r="BF51">
        <v>229.5265074905225</v>
      </c>
      <c r="BG51">
        <v>235.71188150746389</v>
      </c>
      <c r="BH51">
        <v>241.8972555244053</v>
      </c>
      <c r="BI51">
        <v>248.08262954134659</v>
      </c>
      <c r="BJ51">
        <v>254.268003558288</v>
      </c>
      <c r="BK51">
        <v>260.45337757522941</v>
      </c>
      <c r="BL51">
        <v>266.63875159217082</v>
      </c>
      <c r="BM51">
        <v>272.82412560911212</v>
      </c>
      <c r="BN51">
        <v>279.00949962605353</v>
      </c>
      <c r="BO51">
        <v>285.19487364299488</v>
      </c>
      <c r="BP51">
        <v>291.38024765993617</v>
      </c>
      <c r="BQ51">
        <v>297.56562167687758</v>
      </c>
      <c r="BR51">
        <v>303.75099569381888</v>
      </c>
      <c r="BS51">
        <v>309.93636971076029</v>
      </c>
      <c r="BT51">
        <v>316.12174372770181</v>
      </c>
    </row>
    <row r="52" spans="1:72" x14ac:dyDescent="0.25">
      <c r="A52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6DC8-26B5-4357-AD28-966B6D8C9E2C}">
  <dimension ref="A1:P52"/>
  <sheetViews>
    <sheetView workbookViewId="0">
      <selection activeCell="N8" sqref="N8"/>
    </sheetView>
  </sheetViews>
  <sheetFormatPr defaultRowHeight="15" x14ac:dyDescent="0.25"/>
  <sheetData>
    <row r="1" spans="1:16" x14ac:dyDescent="0.25">
      <c r="B1" s="1">
        <v>12.4</v>
      </c>
      <c r="C1" s="1">
        <f>B1+0.2</f>
        <v>12.6</v>
      </c>
      <c r="D1" s="1">
        <f t="shared" ref="D1:O1" si="0">C1+0.2</f>
        <v>12.799999999999999</v>
      </c>
      <c r="E1" s="1">
        <f t="shared" si="0"/>
        <v>12.999999999999998</v>
      </c>
      <c r="F1" s="1">
        <f t="shared" si="0"/>
        <v>13.199999999999998</v>
      </c>
      <c r="G1" s="1">
        <f t="shared" si="0"/>
        <v>13.399999999999997</v>
      </c>
      <c r="H1" s="1">
        <f t="shared" si="0"/>
        <v>13.599999999999996</v>
      </c>
      <c r="I1" s="1">
        <f t="shared" si="0"/>
        <v>13.799999999999995</v>
      </c>
      <c r="J1" s="1">
        <f t="shared" si="0"/>
        <v>13.999999999999995</v>
      </c>
      <c r="K1" s="1">
        <f t="shared" si="0"/>
        <v>14.199999999999994</v>
      </c>
      <c r="L1" s="1">
        <f t="shared" si="0"/>
        <v>14.399999999999993</v>
      </c>
      <c r="M1" s="1">
        <f t="shared" si="0"/>
        <v>14.599999999999993</v>
      </c>
      <c r="N1" s="1">
        <f t="shared" si="0"/>
        <v>14.799999999999992</v>
      </c>
      <c r="O1" s="1">
        <f t="shared" si="0"/>
        <v>14.999999999999991</v>
      </c>
      <c r="P1" t="s">
        <v>1</v>
      </c>
    </row>
    <row r="2" spans="1:16" x14ac:dyDescent="0.25">
      <c r="A2" s="1">
        <f>30+1.8</f>
        <v>31.8</v>
      </c>
      <c r="B2">
        <v>19.545543241623012</v>
      </c>
      <c r="C2">
        <v>90.086600390681099</v>
      </c>
      <c r="D2">
        <v>160.6276575397398</v>
      </c>
      <c r="E2">
        <v>231.1687146887981</v>
      </c>
      <c r="F2">
        <v>301.70977183785709</v>
      </c>
      <c r="G2">
        <v>372.25082898691511</v>
      </c>
      <c r="H2">
        <v>442.7918861359733</v>
      </c>
      <c r="I2">
        <v>513.33294328503189</v>
      </c>
      <c r="J2">
        <v>583.87400043409014</v>
      </c>
      <c r="K2">
        <v>654.4150575831485</v>
      </c>
      <c r="L2">
        <v>724.95611473220754</v>
      </c>
      <c r="M2">
        <v>795.49717188126522</v>
      </c>
      <c r="N2">
        <v>866.03822903032449</v>
      </c>
      <c r="O2">
        <v>936.57928617938239</v>
      </c>
    </row>
    <row r="3" spans="1:16" x14ac:dyDescent="0.25">
      <c r="A3" s="1">
        <f>A2+1.8</f>
        <v>33.6</v>
      </c>
      <c r="B3">
        <v>3.201834666544515</v>
      </c>
      <c r="C3">
        <v>73.479283612779</v>
      </c>
      <c r="D3">
        <v>143.75673255901381</v>
      </c>
      <c r="E3">
        <v>214.0341815052482</v>
      </c>
      <c r="F3">
        <v>284.31163045148298</v>
      </c>
      <c r="G3">
        <v>354.58907939771728</v>
      </c>
      <c r="H3">
        <v>424.86652834395193</v>
      </c>
      <c r="I3">
        <v>495.14397729018702</v>
      </c>
      <c r="J3">
        <v>565.42142623642087</v>
      </c>
      <c r="K3">
        <v>635.69887518265557</v>
      </c>
      <c r="L3">
        <v>705.97632412889027</v>
      </c>
      <c r="M3">
        <v>776.25377307512463</v>
      </c>
      <c r="N3">
        <v>846.53122202135944</v>
      </c>
      <c r="O3">
        <v>916.80867096759425</v>
      </c>
    </row>
    <row r="4" spans="1:16" x14ac:dyDescent="0.25">
      <c r="A4" s="1">
        <f t="shared" ref="A4:A51" si="1">A3+1.8</f>
        <v>35.4</v>
      </c>
      <c r="B4">
        <v>-13.020177530943471</v>
      </c>
      <c r="C4">
        <v>56.995626057267238</v>
      </c>
      <c r="D4">
        <v>127.011429645478</v>
      </c>
      <c r="E4">
        <v>197.02723323368829</v>
      </c>
      <c r="F4">
        <v>267.04303682189919</v>
      </c>
      <c r="G4">
        <v>337.05884041010978</v>
      </c>
      <c r="H4">
        <v>407.07464399831991</v>
      </c>
      <c r="I4">
        <v>477.09044758653141</v>
      </c>
      <c r="J4">
        <v>547.10625117474137</v>
      </c>
      <c r="K4">
        <v>617.12205476295151</v>
      </c>
      <c r="L4">
        <v>687.13785835116255</v>
      </c>
      <c r="M4">
        <v>757.15366193937325</v>
      </c>
      <c r="N4">
        <v>827.16946552758429</v>
      </c>
      <c r="O4">
        <v>897.18526911579409</v>
      </c>
    </row>
    <row r="5" spans="1:16" x14ac:dyDescent="0.25">
      <c r="A5" s="1">
        <f t="shared" si="1"/>
        <v>37.199999999999996</v>
      </c>
      <c r="B5">
        <v>-29.12184754850518</v>
      </c>
      <c r="C5">
        <v>40.634251684583262</v>
      </c>
      <c r="D5">
        <v>110.390350917672</v>
      </c>
      <c r="E5">
        <v>180.14645015076081</v>
      </c>
      <c r="F5">
        <v>249.90254938384939</v>
      </c>
      <c r="G5">
        <v>319.65864861693768</v>
      </c>
      <c r="H5">
        <v>389.41474785002652</v>
      </c>
      <c r="I5">
        <v>459.17084708311558</v>
      </c>
      <c r="J5">
        <v>528.92694631620384</v>
      </c>
      <c r="K5">
        <v>598.68304554929216</v>
      </c>
      <c r="L5">
        <v>668.43914478238094</v>
      </c>
      <c r="M5">
        <v>738.19524401546926</v>
      </c>
      <c r="N5">
        <v>807.95134324855849</v>
      </c>
      <c r="O5">
        <v>877.70744248164704</v>
      </c>
    </row>
    <row r="6" spans="1:16" x14ac:dyDescent="0.25">
      <c r="A6" s="1">
        <f t="shared" si="1"/>
        <v>38.999999999999993</v>
      </c>
      <c r="B6">
        <v>-45.104509565963383</v>
      </c>
      <c r="C6">
        <v>24.393804795875429</v>
      </c>
      <c r="D6">
        <v>93.892119157715271</v>
      </c>
      <c r="E6">
        <v>163.39043351955419</v>
      </c>
      <c r="F6">
        <v>232.8887478813937</v>
      </c>
      <c r="G6">
        <v>302.38706224323278</v>
      </c>
      <c r="H6">
        <v>371.88537660507188</v>
      </c>
      <c r="I6">
        <v>441.38369096691127</v>
      </c>
      <c r="J6">
        <v>510.88200532875032</v>
      </c>
      <c r="K6">
        <v>580.38031969059</v>
      </c>
      <c r="L6">
        <v>649.87863405242911</v>
      </c>
      <c r="M6">
        <v>719.37694841426855</v>
      </c>
      <c r="N6">
        <v>788.875262776108</v>
      </c>
      <c r="O6">
        <v>858.373577137947</v>
      </c>
    </row>
    <row r="7" spans="1:16" x14ac:dyDescent="0.25">
      <c r="A7" s="1">
        <f t="shared" si="1"/>
        <v>40.79999999999999</v>
      </c>
      <c r="B7">
        <v>-60.969478113816763</v>
      </c>
      <c r="C7">
        <v>8.272949658540762</v>
      </c>
      <c r="D7">
        <v>77.515377430899036</v>
      </c>
      <c r="E7">
        <v>146.7578052032564</v>
      </c>
      <c r="F7">
        <v>216.00023297561461</v>
      </c>
      <c r="G7">
        <v>285.24266074797242</v>
      </c>
      <c r="H7">
        <v>354.48508852033012</v>
      </c>
      <c r="I7">
        <v>423.72751629268771</v>
      </c>
      <c r="J7">
        <v>492.96994406504552</v>
      </c>
      <c r="K7">
        <v>562.212371837403</v>
      </c>
      <c r="L7">
        <v>631.45479960976161</v>
      </c>
      <c r="M7">
        <v>700.69722738211863</v>
      </c>
      <c r="N7">
        <v>769.93965515447655</v>
      </c>
      <c r="O7">
        <v>839.18208292683482</v>
      </c>
    </row>
    <row r="8" spans="1:16" x14ac:dyDescent="0.25">
      <c r="A8" s="1">
        <f t="shared" si="1"/>
        <v>42.599999999999987</v>
      </c>
      <c r="B8">
        <v>-76.718048433646288</v>
      </c>
      <c r="C8">
        <v>-7.7296298599954598</v>
      </c>
      <c r="D8">
        <v>61.258788713655292</v>
      </c>
      <c r="E8">
        <v>130.24720728730611</v>
      </c>
      <c r="F8">
        <v>199.2356258609577</v>
      </c>
      <c r="G8">
        <v>268.22404443460817</v>
      </c>
      <c r="H8">
        <v>337.21246300825851</v>
      </c>
      <c r="I8">
        <v>406.2008815819101</v>
      </c>
      <c r="J8">
        <v>475.18930015556037</v>
      </c>
      <c r="K8">
        <v>544.17771872921116</v>
      </c>
      <c r="L8">
        <v>613.16613730286258</v>
      </c>
      <c r="M8">
        <v>682.15455587651297</v>
      </c>
      <c r="N8">
        <v>751.14297445016427</v>
      </c>
      <c r="O8">
        <v>820.13139302381467</v>
      </c>
    </row>
    <row r="9" spans="1:16" x14ac:dyDescent="0.25">
      <c r="A9" s="1">
        <f t="shared" si="1"/>
        <v>44.399999999999984</v>
      </c>
      <c r="B9">
        <v>-92.351496830624299</v>
      </c>
      <c r="C9">
        <v>-23.615230650473389</v>
      </c>
      <c r="D9">
        <v>45.121035529678181</v>
      </c>
      <c r="E9">
        <v>113.8573017098293</v>
      </c>
      <c r="F9">
        <v>182.59356788998079</v>
      </c>
      <c r="G9">
        <v>251.32983407013199</v>
      </c>
      <c r="H9">
        <v>320.06610025028272</v>
      </c>
      <c r="I9">
        <v>388.8023664304344</v>
      </c>
      <c r="J9">
        <v>457.53863261058518</v>
      </c>
      <c r="K9">
        <v>526.27489879073653</v>
      </c>
      <c r="L9">
        <v>595.01116497088776</v>
      </c>
      <c r="M9">
        <v>663.747431151039</v>
      </c>
      <c r="N9">
        <v>732.48369733119023</v>
      </c>
      <c r="O9">
        <v>801.21996351134146</v>
      </c>
    </row>
    <row r="10" spans="1:16" x14ac:dyDescent="0.25">
      <c r="A10" s="1">
        <f t="shared" si="1"/>
        <v>46.199999999999982</v>
      </c>
      <c r="B10">
        <v>-107.8710810183142</v>
      </c>
      <c r="C10">
        <v>-39.385130712158038</v>
      </c>
      <c r="D10">
        <v>29.10081959399847</v>
      </c>
      <c r="E10">
        <v>97.586769900154565</v>
      </c>
      <c r="F10">
        <v>166.07272020631129</v>
      </c>
      <c r="G10">
        <v>234.55867051246699</v>
      </c>
      <c r="H10">
        <v>303.04462081862289</v>
      </c>
      <c r="I10">
        <v>371.53057112477978</v>
      </c>
      <c r="J10">
        <v>440.01652143093588</v>
      </c>
      <c r="K10">
        <v>508.50247173709158</v>
      </c>
      <c r="L10">
        <v>576.98842204324831</v>
      </c>
      <c r="M10">
        <v>645.47437234940412</v>
      </c>
      <c r="N10">
        <v>713.96032265556119</v>
      </c>
      <c r="O10">
        <v>782.44627296171666</v>
      </c>
    </row>
    <row r="11" spans="1:16" x14ac:dyDescent="0.25">
      <c r="A11" s="1">
        <f t="shared" si="1"/>
        <v>47.999999999999979</v>
      </c>
      <c r="B11">
        <v>-123.278040455964</v>
      </c>
      <c r="C11">
        <v>-55.040589495576768</v>
      </c>
      <c r="D11">
        <v>13.196861464811111</v>
      </c>
      <c r="E11">
        <v>81.434312425198556</v>
      </c>
      <c r="F11">
        <v>149.6717633855869</v>
      </c>
      <c r="G11">
        <v>217.90921434597431</v>
      </c>
      <c r="H11">
        <v>286.14666530636168</v>
      </c>
      <c r="I11">
        <v>354.38411626674991</v>
      </c>
      <c r="J11">
        <v>422.62156722713689</v>
      </c>
      <c r="K11">
        <v>490.85901818752473</v>
      </c>
      <c r="L11">
        <v>559.09646914791244</v>
      </c>
      <c r="M11">
        <v>627.33392010830016</v>
      </c>
      <c r="N11">
        <v>695.57137106868811</v>
      </c>
      <c r="O11">
        <v>763.80882202907583</v>
      </c>
    </row>
    <row r="12" spans="1:16" x14ac:dyDescent="0.25">
      <c r="A12" s="1">
        <f t="shared" si="1"/>
        <v>49.799999999999976</v>
      </c>
      <c r="B12">
        <v>-138.5735966784884</v>
      </c>
      <c r="C12">
        <v>-70.582848237818993</v>
      </c>
      <c r="D12">
        <v>-2.5920997971487849</v>
      </c>
      <c r="E12">
        <v>65.398648643520488</v>
      </c>
      <c r="F12">
        <v>133.38939708419039</v>
      </c>
      <c r="G12">
        <v>201.38014552485981</v>
      </c>
      <c r="H12">
        <v>269.37089396552858</v>
      </c>
      <c r="I12">
        <v>337.361642406199</v>
      </c>
      <c r="J12">
        <v>405.3523908468681</v>
      </c>
      <c r="K12">
        <v>473.34313928753721</v>
      </c>
      <c r="L12">
        <v>541.33388772820717</v>
      </c>
      <c r="M12">
        <v>609.3246361688764</v>
      </c>
      <c r="N12">
        <v>677.31538460954641</v>
      </c>
      <c r="O12">
        <v>745.30613305021564</v>
      </c>
    </row>
    <row r="13" spans="1:16" x14ac:dyDescent="0.25">
      <c r="A13" s="1">
        <f t="shared" si="1"/>
        <v>51.599999999999973</v>
      </c>
      <c r="B13">
        <v>-153.75895361931509</v>
      </c>
      <c r="C13">
        <v>-86.013130290594844</v>
      </c>
      <c r="D13">
        <v>-18.26730696187353</v>
      </c>
      <c r="E13">
        <v>49.478516366846847</v>
      </c>
      <c r="F13">
        <v>117.2243396955681</v>
      </c>
      <c r="G13">
        <v>184.97016302428841</v>
      </c>
      <c r="H13">
        <v>252.7159863530091</v>
      </c>
      <c r="I13">
        <v>320.46180968173019</v>
      </c>
      <c r="J13">
        <v>388.20763301045071</v>
      </c>
      <c r="K13">
        <v>455.95345633917123</v>
      </c>
      <c r="L13">
        <v>523.69927966789191</v>
      </c>
      <c r="M13">
        <v>591.44510299661272</v>
      </c>
      <c r="N13">
        <v>659.19092632533341</v>
      </c>
      <c r="O13">
        <v>726.93674965405444</v>
      </c>
    </row>
    <row r="14" spans="1:16" x14ac:dyDescent="0.25">
      <c r="A14" s="1">
        <f t="shared" si="1"/>
        <v>53.39999999999997</v>
      </c>
      <c r="B14">
        <v>-168.83529792627769</v>
      </c>
      <c r="C14">
        <v>-101.3326414412179</v>
      </c>
      <c r="D14">
        <v>-33.829984956157872</v>
      </c>
      <c r="E14">
        <v>33.672671528902278</v>
      </c>
      <c r="F14">
        <v>101.1753280139625</v>
      </c>
      <c r="G14">
        <v>168.6779844990223</v>
      </c>
      <c r="H14">
        <v>236.18064098408189</v>
      </c>
      <c r="I14">
        <v>303.68329746914259</v>
      </c>
      <c r="J14">
        <v>371.18595395420249</v>
      </c>
      <c r="K14">
        <v>438.68861043926239</v>
      </c>
      <c r="L14">
        <v>506.19126692432269</v>
      </c>
      <c r="M14">
        <v>573.69392340938259</v>
      </c>
      <c r="N14">
        <v>641.19657989444295</v>
      </c>
      <c r="O14">
        <v>708.69923637950251</v>
      </c>
    </row>
    <row r="15" spans="1:16" x14ac:dyDescent="0.25">
      <c r="A15" s="1">
        <f t="shared" si="1"/>
        <v>55.199999999999967</v>
      </c>
      <c r="B15">
        <v>-183.80379927073221</v>
      </c>
      <c r="C15">
        <v>-116.5425702267122</v>
      </c>
      <c r="D15">
        <v>-49.281341182691271</v>
      </c>
      <c r="E15">
        <v>17.979887861328709</v>
      </c>
      <c r="F15">
        <v>85.2411169053495</v>
      </c>
      <c r="G15">
        <v>152.50234594937001</v>
      </c>
      <c r="H15">
        <v>219.76357499339011</v>
      </c>
      <c r="I15">
        <v>287.02480403741089</v>
      </c>
      <c r="J15">
        <v>354.28603308143079</v>
      </c>
      <c r="K15">
        <v>421.54726212545108</v>
      </c>
      <c r="L15">
        <v>488.80849116947218</v>
      </c>
      <c r="M15">
        <v>556.06972021349236</v>
      </c>
      <c r="N15">
        <v>623.330949257513</v>
      </c>
      <c r="O15">
        <v>690.59217830153364</v>
      </c>
    </row>
    <row r="16" spans="1:16" x14ac:dyDescent="0.25">
      <c r="A16" s="1">
        <f t="shared" si="1"/>
        <v>56.999999999999964</v>
      </c>
      <c r="B16">
        <v>-198.66561065006141</v>
      </c>
      <c r="C16">
        <v>-131.6440882411917</v>
      </c>
      <c r="D16">
        <v>-64.622565832321285</v>
      </c>
      <c r="E16">
        <v>2.39895657654868</v>
      </c>
      <c r="F16">
        <v>69.420478985418669</v>
      </c>
      <c r="G16">
        <v>136.44200139428881</v>
      </c>
      <c r="H16">
        <v>203.46352380315861</v>
      </c>
      <c r="I16">
        <v>270.48504621202869</v>
      </c>
      <c r="J16">
        <v>337.50656862089829</v>
      </c>
      <c r="K16">
        <v>404.52809102976818</v>
      </c>
      <c r="L16">
        <v>471.54961343863857</v>
      </c>
      <c r="M16">
        <v>538.57113584750846</v>
      </c>
      <c r="N16">
        <v>605.59265825637829</v>
      </c>
      <c r="O16">
        <v>672.61418066524834</v>
      </c>
    </row>
    <row r="17" spans="1:15" x14ac:dyDescent="0.25">
      <c r="A17" s="1">
        <f t="shared" si="1"/>
        <v>58.799999999999962</v>
      </c>
      <c r="B17">
        <v>-213.42186868373341</v>
      </c>
      <c r="C17">
        <v>-146.6383504366969</v>
      </c>
      <c r="D17">
        <v>-79.85483218966003</v>
      </c>
      <c r="E17">
        <v>-13.071313942623551</v>
      </c>
      <c r="F17">
        <v>53.712204304413198</v>
      </c>
      <c r="G17">
        <v>120.4957225514496</v>
      </c>
      <c r="H17">
        <v>187.27924079848609</v>
      </c>
      <c r="I17">
        <v>254.06275904552299</v>
      </c>
      <c r="J17">
        <v>320.84627729255942</v>
      </c>
      <c r="K17">
        <v>387.62979553959531</v>
      </c>
      <c r="L17">
        <v>454.41331378663239</v>
      </c>
      <c r="M17">
        <v>521.19683203366867</v>
      </c>
      <c r="N17">
        <v>587.98035028070581</v>
      </c>
      <c r="O17">
        <v>654.76386852774158</v>
      </c>
    </row>
    <row r="18" spans="1:15" x14ac:dyDescent="0.25">
      <c r="A18" s="1">
        <f t="shared" si="1"/>
        <v>60.599999999999959</v>
      </c>
      <c r="B18">
        <v>-228.07369390307511</v>
      </c>
      <c r="C18">
        <v>-161.5264954176408</v>
      </c>
      <c r="D18">
        <v>-94.979296932206196</v>
      </c>
      <c r="E18">
        <v>-28.432098446772059</v>
      </c>
      <c r="F18">
        <v>38.115100038662071</v>
      </c>
      <c r="G18">
        <v>104.6622985240964</v>
      </c>
      <c r="H18">
        <v>171.20949700953011</v>
      </c>
      <c r="I18">
        <v>237.75669549496499</v>
      </c>
      <c r="J18">
        <v>304.30389398039932</v>
      </c>
      <c r="K18">
        <v>370.85109246583301</v>
      </c>
      <c r="L18">
        <v>437.3982909512676</v>
      </c>
      <c r="M18">
        <v>503.94548943670191</v>
      </c>
      <c r="N18">
        <v>570.49268792213627</v>
      </c>
      <c r="O18">
        <v>637.03988640757041</v>
      </c>
    </row>
    <row r="19" spans="1:15" x14ac:dyDescent="0.25">
      <c r="A19" s="1">
        <f t="shared" si="1"/>
        <v>62.399999999999956</v>
      </c>
      <c r="B19">
        <v>-242.62219103492109</v>
      </c>
      <c r="C19">
        <v>-176.30964572903289</v>
      </c>
      <c r="D19">
        <v>-109.9971004231443</v>
      </c>
      <c r="E19">
        <v>-43.684555117256103</v>
      </c>
      <c r="F19">
        <v>22.62799018863284</v>
      </c>
      <c r="G19">
        <v>88.940535494520901</v>
      </c>
      <c r="H19">
        <v>155.2530808004089</v>
      </c>
      <c r="I19">
        <v>221.5656261062976</v>
      </c>
      <c r="J19">
        <v>287.87817141218551</v>
      </c>
      <c r="K19">
        <v>354.19071671807399</v>
      </c>
      <c r="L19">
        <v>420.50326202396229</v>
      </c>
      <c r="M19">
        <v>486.81580732985037</v>
      </c>
      <c r="N19">
        <v>553.12835263573925</v>
      </c>
      <c r="O19">
        <v>619.44089794162733</v>
      </c>
    </row>
    <row r="20" spans="1:15" x14ac:dyDescent="0.25">
      <c r="A20" s="1">
        <f t="shared" si="1"/>
        <v>64.19999999999996</v>
      </c>
      <c r="B20">
        <v>-257.06844927927062</v>
      </c>
      <c r="C20">
        <v>-190.98890813861371</v>
      </c>
      <c r="D20">
        <v>-124.9093669979566</v>
      </c>
      <c r="E20">
        <v>-58.82982585729993</v>
      </c>
      <c r="F20">
        <v>7.2497152833577463</v>
      </c>
      <c r="G20">
        <v>73.329256424014034</v>
      </c>
      <c r="H20">
        <v>139.40879756467061</v>
      </c>
      <c r="I20">
        <v>205.4883387053282</v>
      </c>
      <c r="J20">
        <v>271.56787984598492</v>
      </c>
      <c r="K20">
        <v>337.64742098664141</v>
      </c>
      <c r="L20">
        <v>403.72696212729852</v>
      </c>
      <c r="M20">
        <v>469.80650326795558</v>
      </c>
      <c r="N20">
        <v>535.88604440861309</v>
      </c>
      <c r="O20">
        <v>601.96558554926958</v>
      </c>
    </row>
    <row r="21" spans="1:15" x14ac:dyDescent="0.25">
      <c r="A21" s="1">
        <f t="shared" si="1"/>
        <v>65.999999999999957</v>
      </c>
      <c r="B21">
        <v>-271.41354258111818</v>
      </c>
      <c r="C21">
        <v>-205.56537391307191</v>
      </c>
      <c r="D21">
        <v>-139.71720524502541</v>
      </c>
      <c r="E21">
        <v>-73.869036576979212</v>
      </c>
      <c r="F21">
        <v>-8.0208679089323009</v>
      </c>
      <c r="G21">
        <v>57.82730075911374</v>
      </c>
      <c r="H21">
        <v>123.67546942716</v>
      </c>
      <c r="I21">
        <v>189.52363809520691</v>
      </c>
      <c r="J21">
        <v>255.3718067632532</v>
      </c>
      <c r="K21">
        <v>321.21997543129942</v>
      </c>
      <c r="L21">
        <v>387.06814409934651</v>
      </c>
      <c r="M21">
        <v>452.9163127673927</v>
      </c>
      <c r="N21">
        <v>518.76448143543928</v>
      </c>
      <c r="O21">
        <v>584.61265010348586</v>
      </c>
    </row>
    <row r="22" spans="1:15" x14ac:dyDescent="0.25">
      <c r="A22" s="1">
        <f t="shared" si="1"/>
        <v>67.799999999999955</v>
      </c>
      <c r="B22">
        <v>-285.65852989660112</v>
      </c>
      <c r="C22">
        <v>-220.0401190884823</v>
      </c>
      <c r="D22">
        <v>-154.4217082803624</v>
      </c>
      <c r="E22">
        <v>-88.8032974722435</v>
      </c>
      <c r="F22">
        <v>-23.18488666412356</v>
      </c>
      <c r="G22">
        <v>42.43352414399552</v>
      </c>
      <c r="H22">
        <v>108.05193495211481</v>
      </c>
      <c r="I22">
        <v>173.6703457602342</v>
      </c>
      <c r="J22">
        <v>239.28875656835359</v>
      </c>
      <c r="K22">
        <v>304.90716737647273</v>
      </c>
      <c r="L22">
        <v>370.52557818459229</v>
      </c>
      <c r="M22">
        <v>436.14398899271112</v>
      </c>
      <c r="N22">
        <v>501.76239980083068</v>
      </c>
      <c r="O22">
        <v>567.38081060895001</v>
      </c>
    </row>
    <row r="23" spans="1:15" x14ac:dyDescent="0.25">
      <c r="A23" s="1">
        <f t="shared" si="1"/>
        <v>69.599999999999952</v>
      </c>
      <c r="B23">
        <v>-299.8044554535731</v>
      </c>
      <c r="C23">
        <v>-234.41420473508211</v>
      </c>
      <c r="D23">
        <v>-169.0239540165914</v>
      </c>
      <c r="E23">
        <v>-103.6337032981006</v>
      </c>
      <c r="F23">
        <v>-38.243452579609567</v>
      </c>
      <c r="G23">
        <v>27.146798138881131</v>
      </c>
      <c r="H23">
        <v>92.537048857371403</v>
      </c>
      <c r="I23">
        <v>157.92729957586249</v>
      </c>
      <c r="J23">
        <v>223.31755029435291</v>
      </c>
      <c r="K23">
        <v>288.70780101284339</v>
      </c>
      <c r="L23">
        <v>354.09805173133481</v>
      </c>
      <c r="M23">
        <v>419.48830244982531</v>
      </c>
      <c r="N23">
        <v>484.87855316831661</v>
      </c>
      <c r="O23">
        <v>550.2688038868065</v>
      </c>
    </row>
    <row r="24" spans="1:15" x14ac:dyDescent="0.25">
      <c r="A24" s="1">
        <f t="shared" si="1"/>
        <v>71.399999999999949</v>
      </c>
      <c r="B24">
        <v>-313.85234900678279</v>
      </c>
      <c r="C24">
        <v>-248.68867721656969</v>
      </c>
      <c r="D24">
        <v>-183.5250054263561</v>
      </c>
      <c r="E24">
        <v>-118.3613336361435</v>
      </c>
      <c r="F24">
        <v>-53.197661845929836</v>
      </c>
      <c r="G24">
        <v>11.966009944282961</v>
      </c>
      <c r="H24">
        <v>77.129681734496288</v>
      </c>
      <c r="I24">
        <v>142.29335352470949</v>
      </c>
      <c r="J24">
        <v>207.4570253149225</v>
      </c>
      <c r="K24">
        <v>272.6206971051356</v>
      </c>
      <c r="L24">
        <v>337.78436889534902</v>
      </c>
      <c r="M24">
        <v>402.94804068556169</v>
      </c>
      <c r="N24">
        <v>468.11171247577551</v>
      </c>
      <c r="O24">
        <v>533.27538426598858</v>
      </c>
    </row>
    <row r="25" spans="1:15" x14ac:dyDescent="0.25">
      <c r="A25" s="1">
        <f t="shared" si="1"/>
        <v>73.199999999999946</v>
      </c>
      <c r="B25">
        <v>-327.80322608775629</v>
      </c>
      <c r="C25">
        <v>-262.86456844401079</v>
      </c>
      <c r="D25">
        <v>-197.92591080026449</v>
      </c>
      <c r="E25">
        <v>-132.98725315651879</v>
      </c>
      <c r="F25">
        <v>-68.048595512772792</v>
      </c>
      <c r="G25">
        <v>-3.109937869027136</v>
      </c>
      <c r="H25">
        <v>61.828719774718458</v>
      </c>
      <c r="I25">
        <v>126.7673774184646</v>
      </c>
      <c r="J25">
        <v>191.7060350622105</v>
      </c>
      <c r="K25">
        <v>256.64469270595572</v>
      </c>
      <c r="L25">
        <v>321.58335034970207</v>
      </c>
      <c r="M25">
        <v>386.52200799344791</v>
      </c>
      <c r="N25">
        <v>451.46066563719381</v>
      </c>
      <c r="O25">
        <v>516.39932328093937</v>
      </c>
    </row>
    <row r="26" spans="1:15" x14ac:dyDescent="0.25">
      <c r="A26" s="1">
        <f t="shared" si="1"/>
        <v>74.999999999999943</v>
      </c>
      <c r="B26">
        <v>-341.6580882495166</v>
      </c>
      <c r="C26">
        <v>-276.94289612450899</v>
      </c>
      <c r="D26">
        <v>-212.2277039995009</v>
      </c>
      <c r="E26">
        <v>-147.5125118744933</v>
      </c>
      <c r="F26">
        <v>-82.797319749485197</v>
      </c>
      <c r="G26">
        <v>-18.082127624477408</v>
      </c>
      <c r="H26">
        <v>46.633064500530232</v>
      </c>
      <c r="I26">
        <v>111.3482566255381</v>
      </c>
      <c r="J26">
        <v>176.06344875054589</v>
      </c>
      <c r="K26">
        <v>240.77864087555321</v>
      </c>
      <c r="L26">
        <v>305.49383300056132</v>
      </c>
      <c r="M26">
        <v>370.20902512556933</v>
      </c>
      <c r="N26">
        <v>434.92421725057739</v>
      </c>
      <c r="O26">
        <v>499.63940937558482</v>
      </c>
    </row>
    <row r="27" spans="1:15" x14ac:dyDescent="0.25">
      <c r="A27" s="1">
        <f t="shared" si="1"/>
        <v>76.79999999999994</v>
      </c>
      <c r="B27">
        <v>-355.41792330627209</v>
      </c>
      <c r="C27">
        <v>-290.92466400476042</v>
      </c>
      <c r="D27">
        <v>-226.43140470324829</v>
      </c>
      <c r="E27">
        <v>-161.93814540173679</v>
      </c>
      <c r="F27">
        <v>-97.444886100225091</v>
      </c>
      <c r="G27">
        <v>-32.951626798713178</v>
      </c>
      <c r="H27">
        <v>31.541632502797992</v>
      </c>
      <c r="I27">
        <v>96.034891804310021</v>
      </c>
      <c r="J27">
        <v>160.52815110582151</v>
      </c>
      <c r="K27">
        <v>225.02141040733329</v>
      </c>
      <c r="L27">
        <v>289.51466970884559</v>
      </c>
      <c r="M27">
        <v>354.00792901035669</v>
      </c>
      <c r="N27">
        <v>418.50118831186887</v>
      </c>
      <c r="O27">
        <v>482.99444761338009</v>
      </c>
    </row>
    <row r="28" spans="1:15" x14ac:dyDescent="0.25">
      <c r="A28" s="1">
        <f t="shared" si="1"/>
        <v>78.599999999999937</v>
      </c>
      <c r="B28">
        <v>-369.08370556819278</v>
      </c>
      <c r="C28">
        <v>-304.81086210961553</v>
      </c>
      <c r="D28">
        <v>-240.53801865103779</v>
      </c>
      <c r="E28">
        <v>-176.2651751924605</v>
      </c>
      <c r="F28">
        <v>-111.99233173388281</v>
      </c>
      <c r="G28">
        <v>-47.719488275305451</v>
      </c>
      <c r="H28">
        <v>16.553355183272139</v>
      </c>
      <c r="I28">
        <v>80.8261986418497</v>
      </c>
      <c r="J28">
        <v>145.09904210042711</v>
      </c>
      <c r="K28">
        <v>209.3718855590042</v>
      </c>
      <c r="L28">
        <v>273.64472901758262</v>
      </c>
      <c r="M28">
        <v>337.91757247615982</v>
      </c>
      <c r="N28">
        <v>402.19041593473742</v>
      </c>
      <c r="O28">
        <v>466.4632593933149</v>
      </c>
    </row>
    <row r="29" spans="1:15" x14ac:dyDescent="0.25">
      <c r="A29" s="1">
        <f t="shared" si="1"/>
        <v>80.399999999999935</v>
      </c>
      <c r="B29">
        <v>-382.65639607138121</v>
      </c>
      <c r="C29">
        <v>-318.60246697575872</v>
      </c>
      <c r="D29">
        <v>-254.54853788013571</v>
      </c>
      <c r="E29">
        <v>-190.49460878451319</v>
      </c>
      <c r="F29">
        <v>-126.4406796888899</v>
      </c>
      <c r="G29">
        <v>-62.386750593267053</v>
      </c>
      <c r="H29">
        <v>1.667178502355479</v>
      </c>
      <c r="I29">
        <v>65.72110759797863</v>
      </c>
      <c r="J29">
        <v>129.77503669360149</v>
      </c>
      <c r="K29">
        <v>193.8289657892241</v>
      </c>
      <c r="L29">
        <v>257.88289488484747</v>
      </c>
      <c r="M29">
        <v>321.9368239804698</v>
      </c>
      <c r="N29">
        <v>385.99075307609343</v>
      </c>
      <c r="O29">
        <v>450.04468217171558</v>
      </c>
    </row>
    <row r="30" spans="1:15" x14ac:dyDescent="0.25">
      <c r="A30" s="1">
        <f t="shared" si="1"/>
        <v>82.199999999999932</v>
      </c>
      <c r="B30">
        <v>-396.13694280316503</v>
      </c>
      <c r="C30">
        <v>-332.30044188063579</v>
      </c>
      <c r="D30">
        <v>-268.46394095810558</v>
      </c>
      <c r="E30">
        <v>-204.6274400355764</v>
      </c>
      <c r="F30">
        <v>-140.79093911304631</v>
      </c>
      <c r="G30">
        <v>-76.954438190516967</v>
      </c>
      <c r="H30">
        <v>-13.11793726798761</v>
      </c>
      <c r="I30">
        <v>50.718563654542002</v>
      </c>
      <c r="J30">
        <v>114.5550645770718</v>
      </c>
      <c r="K30">
        <v>178.39156549960111</v>
      </c>
      <c r="L30">
        <v>242.22806642213089</v>
      </c>
      <c r="M30">
        <v>306.0645673446603</v>
      </c>
      <c r="N30">
        <v>369.90106826719023</v>
      </c>
      <c r="O30">
        <v>433.73756918971969</v>
      </c>
    </row>
    <row r="31" spans="1:15" x14ac:dyDescent="0.25">
      <c r="A31" s="1">
        <f t="shared" si="1"/>
        <v>83.999999999999929</v>
      </c>
      <c r="B31">
        <v>-409.52628092281611</v>
      </c>
      <c r="C31">
        <v>-345.90573706673302</v>
      </c>
      <c r="D31">
        <v>-282.28519321064891</v>
      </c>
      <c r="E31">
        <v>-218.66464935456571</v>
      </c>
      <c r="F31">
        <v>-155.04410549848151</v>
      </c>
      <c r="G31">
        <v>-91.42356164239844</v>
      </c>
      <c r="H31">
        <v>-27.80301778631496</v>
      </c>
      <c r="I31">
        <v>35.817526069768917</v>
      </c>
      <c r="J31">
        <v>99.43806992585229</v>
      </c>
      <c r="K31">
        <v>163.05861378193569</v>
      </c>
      <c r="L31">
        <v>226.6791576380198</v>
      </c>
      <c r="M31">
        <v>290.29970149410349</v>
      </c>
      <c r="N31">
        <v>353.92024535018697</v>
      </c>
      <c r="O31">
        <v>417.54078920627029</v>
      </c>
    </row>
    <row r="32" spans="1:15" x14ac:dyDescent="0.25">
      <c r="A32" s="1">
        <f t="shared" si="1"/>
        <v>85.799999999999926</v>
      </c>
      <c r="B32">
        <v>-422.82533297780202</v>
      </c>
      <c r="C32">
        <v>-359.41928996131531</v>
      </c>
      <c r="D32">
        <v>-296.01324694482832</v>
      </c>
      <c r="E32">
        <v>-232.60720392834119</v>
      </c>
      <c r="F32">
        <v>-169.2011609118538</v>
      </c>
      <c r="G32">
        <v>-105.7951178953672</v>
      </c>
      <c r="H32">
        <v>-42.389074878880137</v>
      </c>
      <c r="I32">
        <v>21.016968137606909</v>
      </c>
      <c r="J32">
        <v>84.423011154093885</v>
      </c>
      <c r="K32">
        <v>147.82905417058089</v>
      </c>
      <c r="L32">
        <v>211.23509718706811</v>
      </c>
      <c r="M32">
        <v>274.64114020355493</v>
      </c>
      <c r="N32">
        <v>338.04718322004271</v>
      </c>
      <c r="O32">
        <v>401.45322623652942</v>
      </c>
    </row>
    <row r="33" spans="1:15" x14ac:dyDescent="0.25">
      <c r="A33" s="1">
        <f t="shared" si="1"/>
        <v>87.599999999999923</v>
      </c>
      <c r="B33">
        <v>-436.03500911568062</v>
      </c>
      <c r="C33">
        <v>-372.84202539174061</v>
      </c>
      <c r="D33">
        <v>-309.64904166779911</v>
      </c>
      <c r="E33">
        <v>-246.45605794385909</v>
      </c>
      <c r="F33">
        <v>-183.26307421991791</v>
      </c>
      <c r="G33">
        <v>-120.0700904959775</v>
      </c>
      <c r="H33">
        <v>-56.877106772037273</v>
      </c>
      <c r="I33">
        <v>6.315876951904154</v>
      </c>
      <c r="J33">
        <v>69.508860675844332</v>
      </c>
      <c r="K33">
        <v>132.70184439978499</v>
      </c>
      <c r="L33">
        <v>195.89482812372549</v>
      </c>
      <c r="M33">
        <v>259.08781184766627</v>
      </c>
      <c r="N33">
        <v>322.28079557160709</v>
      </c>
      <c r="O33">
        <v>385.47377929554727</v>
      </c>
    </row>
    <row r="34" spans="1:15" x14ac:dyDescent="0.25">
      <c r="A34" s="1">
        <f t="shared" si="1"/>
        <v>89.39999999999992</v>
      </c>
      <c r="B34">
        <v>-449.15620729173469</v>
      </c>
      <c r="C34">
        <v>-386.17485579644102</v>
      </c>
      <c r="D34">
        <v>-323.19350430114559</v>
      </c>
      <c r="E34">
        <v>-260.21215280585108</v>
      </c>
      <c r="F34">
        <v>-197.2308013105563</v>
      </c>
      <c r="G34">
        <v>-134.24944981526181</v>
      </c>
      <c r="H34">
        <v>-71.268098319967521</v>
      </c>
      <c r="I34">
        <v>-8.286746824672397</v>
      </c>
      <c r="J34">
        <v>54.694604670621892</v>
      </c>
      <c r="K34">
        <v>117.67595616591601</v>
      </c>
      <c r="L34">
        <v>180.65730766121129</v>
      </c>
      <c r="M34">
        <v>243.63865915650521</v>
      </c>
      <c r="N34">
        <v>306.62001065180021</v>
      </c>
      <c r="O34">
        <v>369.60136214709479</v>
      </c>
    </row>
    <row r="35" spans="1:15" x14ac:dyDescent="0.25">
      <c r="A35" s="1">
        <f t="shared" si="1"/>
        <v>91.199999999999918</v>
      </c>
      <c r="B35">
        <v>-462.1898134724496</v>
      </c>
      <c r="C35">
        <v>-399.41868143168278</v>
      </c>
      <c r="D35">
        <v>-336.64754939091608</v>
      </c>
      <c r="E35">
        <v>-273.87641735014932</v>
      </c>
      <c r="F35">
        <v>-211.105285309382</v>
      </c>
      <c r="G35">
        <v>-148.33415326861541</v>
      </c>
      <c r="H35">
        <v>-85.563021227848708</v>
      </c>
      <c r="I35">
        <v>-22.791889187081011</v>
      </c>
      <c r="J35">
        <v>39.979242853685228</v>
      </c>
      <c r="K35">
        <v>102.75037489445231</v>
      </c>
      <c r="L35">
        <v>165.52150693521961</v>
      </c>
      <c r="M35">
        <v>228.29263897598631</v>
      </c>
      <c r="N35">
        <v>291.06377101675372</v>
      </c>
      <c r="O35">
        <v>353.83490305752002</v>
      </c>
    </row>
    <row r="36" spans="1:15" x14ac:dyDescent="0.25">
      <c r="A36" s="1">
        <f t="shared" si="1"/>
        <v>92.999999999999915</v>
      </c>
      <c r="B36">
        <v>-475.13670183492832</v>
      </c>
      <c r="C36">
        <v>-412.57439057420191</v>
      </c>
      <c r="D36">
        <v>-350.01207931347409</v>
      </c>
      <c r="E36">
        <v>-287.44976805274752</v>
      </c>
      <c r="F36">
        <v>-224.8874567920204</v>
      </c>
      <c r="G36">
        <v>-162.32514553129371</v>
      </c>
      <c r="H36">
        <v>-99.762834270566785</v>
      </c>
      <c r="I36">
        <v>-37.200523009839323</v>
      </c>
      <c r="J36">
        <v>25.361788250887098</v>
      </c>
      <c r="K36">
        <v>87.924099511613733</v>
      </c>
      <c r="L36">
        <v>150.4864107723414</v>
      </c>
      <c r="M36">
        <v>213.04872203306829</v>
      </c>
      <c r="N36">
        <v>275.61103329379529</v>
      </c>
      <c r="O36">
        <v>338.17334455452209</v>
      </c>
    </row>
    <row r="37" spans="1:15" x14ac:dyDescent="0.25">
      <c r="A37" s="1">
        <f t="shared" si="1"/>
        <v>94.799999999999912</v>
      </c>
      <c r="B37">
        <v>-487.99773496234093</v>
      </c>
      <c r="C37">
        <v>-425.64285971979871</v>
      </c>
      <c r="D37">
        <v>-363.28798447725478</v>
      </c>
      <c r="E37">
        <v>-300.93310923471267</v>
      </c>
      <c r="F37">
        <v>-238.57823399216949</v>
      </c>
      <c r="G37">
        <v>-176.22335874962661</v>
      </c>
      <c r="H37">
        <v>-113.86848350708431</v>
      </c>
      <c r="I37">
        <v>-51.51360826454065</v>
      </c>
      <c r="J37">
        <v>10.841266978001849</v>
      </c>
      <c r="K37">
        <v>73.196142220544459</v>
      </c>
      <c r="L37">
        <v>135.5510174630877</v>
      </c>
      <c r="M37">
        <v>197.90589270563041</v>
      </c>
      <c r="N37">
        <v>260.26076794817351</v>
      </c>
      <c r="O37">
        <v>322.61564319071613</v>
      </c>
    </row>
    <row r="38" spans="1:15" x14ac:dyDescent="0.25">
      <c r="A38" s="1">
        <f t="shared" si="1"/>
        <v>96.599999999999909</v>
      </c>
      <c r="B38">
        <v>-500.77376403549692</v>
      </c>
      <c r="C38">
        <v>-438.62495377800587</v>
      </c>
      <c r="D38">
        <v>-376.47614352051329</v>
      </c>
      <c r="E38">
        <v>-314.32733326302127</v>
      </c>
      <c r="F38">
        <v>-252.1785230055294</v>
      </c>
      <c r="G38">
        <v>-190.02971274803721</v>
      </c>
      <c r="H38">
        <v>-127.88090249054559</v>
      </c>
      <c r="I38">
        <v>-65.73209223305318</v>
      </c>
      <c r="J38">
        <v>-3.5832819755614569</v>
      </c>
      <c r="K38">
        <v>58.565528281930327</v>
      </c>
      <c r="L38">
        <v>120.7143385394224</v>
      </c>
      <c r="M38">
        <v>182.8631487969144</v>
      </c>
      <c r="N38">
        <v>245.01195905440679</v>
      </c>
      <c r="O38">
        <v>307.16076931189838</v>
      </c>
    </row>
    <row r="39" spans="1:15" x14ac:dyDescent="0.25">
      <c r="A39" s="1">
        <f t="shared" si="1"/>
        <v>98.399999999999906</v>
      </c>
      <c r="B39">
        <v>-513.46562902063283</v>
      </c>
      <c r="C39">
        <v>-451.52152626290138</v>
      </c>
      <c r="D39">
        <v>-389.57742350516958</v>
      </c>
      <c r="E39">
        <v>-327.63332074743789</v>
      </c>
      <c r="F39">
        <v>-265.68921798970553</v>
      </c>
      <c r="G39">
        <v>-203.74511523197441</v>
      </c>
      <c r="H39">
        <v>-141.8010124742425</v>
      </c>
      <c r="I39">
        <v>-79.856909716510529</v>
      </c>
      <c r="J39">
        <v>-17.912806958778891</v>
      </c>
      <c r="K39">
        <v>44.031295798952172</v>
      </c>
      <c r="L39">
        <v>105.9753985566843</v>
      </c>
      <c r="M39">
        <v>167.91950131441581</v>
      </c>
      <c r="N39">
        <v>229.86360407214809</v>
      </c>
      <c r="O39">
        <v>291.80770682987941</v>
      </c>
    </row>
    <row r="40" spans="1:15" x14ac:dyDescent="0.25">
      <c r="A40" s="1">
        <f t="shared" si="1"/>
        <v>100.1999999999999</v>
      </c>
      <c r="B40">
        <v>-526.07415885349974</v>
      </c>
      <c r="C40">
        <v>-464.3334194801696</v>
      </c>
      <c r="D40">
        <v>-402.59268010683849</v>
      </c>
      <c r="E40">
        <v>-340.85194073350789</v>
      </c>
      <c r="F40">
        <v>-279.11120136017701</v>
      </c>
      <c r="G40">
        <v>-217.37046198684681</v>
      </c>
      <c r="H40">
        <v>-155.62972261351629</v>
      </c>
      <c r="I40">
        <v>-93.888983240185226</v>
      </c>
      <c r="J40">
        <v>-32.148243866855047</v>
      </c>
      <c r="K40">
        <v>29.59249550647554</v>
      </c>
      <c r="L40">
        <v>91.33323487980627</v>
      </c>
      <c r="M40">
        <v>153.07397425313701</v>
      </c>
      <c r="N40">
        <v>214.81471362646781</v>
      </c>
      <c r="O40">
        <v>276.55545299979849</v>
      </c>
    </row>
    <row r="41" spans="1:15" x14ac:dyDescent="0.25">
      <c r="A41" s="1">
        <f t="shared" si="1"/>
        <v>101.9999999999999</v>
      </c>
      <c r="B41">
        <v>-538.60017161983842</v>
      </c>
      <c r="C41">
        <v>-477.06146471048078</v>
      </c>
      <c r="D41">
        <v>-415.52275780112262</v>
      </c>
      <c r="E41">
        <v>-353.98405089176572</v>
      </c>
      <c r="F41">
        <v>-292.44534398240768</v>
      </c>
      <c r="G41">
        <v>-230.9066370730506</v>
      </c>
      <c r="H41">
        <v>-169.36793016369319</v>
      </c>
      <c r="I41">
        <v>-107.8292232543355</v>
      </c>
      <c r="J41">
        <v>-46.290516344978407</v>
      </c>
      <c r="K41">
        <v>15.248190564379041</v>
      </c>
      <c r="L41">
        <v>76.786897473736857</v>
      </c>
      <c r="M41">
        <v>138.32560438309361</v>
      </c>
      <c r="N41">
        <v>199.8643112924513</v>
      </c>
      <c r="O41">
        <v>261.40301820180878</v>
      </c>
    </row>
    <row r="42" spans="1:15" x14ac:dyDescent="0.25">
      <c r="A42" s="1">
        <f t="shared" si="1"/>
        <v>103.7999999999999</v>
      </c>
      <c r="B42">
        <v>-551.04447473231642</v>
      </c>
      <c r="C42">
        <v>-489.70648238928948</v>
      </c>
      <c r="D42">
        <v>-428.36849004626202</v>
      </c>
      <c r="E42">
        <v>-367.03049770323543</v>
      </c>
      <c r="F42">
        <v>-305.69250536020758</v>
      </c>
      <c r="G42">
        <v>-244.35451301718061</v>
      </c>
      <c r="H42">
        <v>-183.0165206741539</v>
      </c>
      <c r="I42">
        <v>-121.6785283311263</v>
      </c>
      <c r="J42">
        <v>-60.340535988099298</v>
      </c>
      <c r="K42">
        <v>0.99745635492739626</v>
      </c>
      <c r="L42">
        <v>62.335448697955158</v>
      </c>
      <c r="M42">
        <v>123.6734410409819</v>
      </c>
      <c r="N42">
        <v>185.01143338400951</v>
      </c>
      <c r="O42">
        <v>246.3494257270365</v>
      </c>
    </row>
    <row r="43" spans="1:15" x14ac:dyDescent="0.25">
      <c r="A43" s="1">
        <f t="shared" si="1"/>
        <v>105.59999999999989</v>
      </c>
      <c r="B43">
        <v>-563.40786510402768</v>
      </c>
      <c r="C43">
        <v>-502.26928228312528</v>
      </c>
      <c r="D43">
        <v>-441.13069946222191</v>
      </c>
      <c r="E43">
        <v>-379.99211664131968</v>
      </c>
      <c r="F43">
        <v>-318.8535338204166</v>
      </c>
      <c r="G43">
        <v>-257.7149509995142</v>
      </c>
      <c r="H43">
        <v>-196.57636817861129</v>
      </c>
      <c r="I43">
        <v>-135.43778535770829</v>
      </c>
      <c r="J43">
        <v>-74.299202536805609</v>
      </c>
      <c r="K43">
        <v>-13.160619715903209</v>
      </c>
      <c r="L43">
        <v>47.977963104999887</v>
      </c>
      <c r="M43">
        <v>109.1165459259026</v>
      </c>
      <c r="N43">
        <v>170.25512874680541</v>
      </c>
      <c r="O43">
        <v>231.3937115677079</v>
      </c>
    </row>
    <row r="44" spans="1:15" x14ac:dyDescent="0.25">
      <c r="A44" s="1">
        <f t="shared" si="1"/>
        <v>107.39999999999989</v>
      </c>
      <c r="B44">
        <v>-575.69112931860161</v>
      </c>
      <c r="C44">
        <v>-514.75066366245062</v>
      </c>
      <c r="D44">
        <v>-453.81019800629798</v>
      </c>
      <c r="E44">
        <v>-392.8697323501471</v>
      </c>
      <c r="F44">
        <v>-331.92926669399509</v>
      </c>
      <c r="G44">
        <v>-270.9888010378437</v>
      </c>
      <c r="H44">
        <v>-210.0483353816924</v>
      </c>
      <c r="I44">
        <v>-149.10786972554041</v>
      </c>
      <c r="J44">
        <v>-88.167404069389221</v>
      </c>
      <c r="K44">
        <v>-27.22693841323796</v>
      </c>
      <c r="L44">
        <v>33.713527242914203</v>
      </c>
      <c r="M44">
        <v>94.653992899065443</v>
      </c>
      <c r="N44">
        <v>155.59445855521719</v>
      </c>
      <c r="O44">
        <v>216.534924211369</v>
      </c>
    </row>
    <row r="45" spans="1:15" x14ac:dyDescent="0.25">
      <c r="A45" s="1">
        <f t="shared" si="1"/>
        <v>109.19999999999989</v>
      </c>
      <c r="B45">
        <v>-587.89504379702475</v>
      </c>
      <c r="C45">
        <v>-527.15141547117128</v>
      </c>
      <c r="D45">
        <v>-466.40778714531632</v>
      </c>
      <c r="E45">
        <v>-405.66415881946182</v>
      </c>
      <c r="F45">
        <v>-344.9205304936072</v>
      </c>
      <c r="G45">
        <v>-284.17690216775333</v>
      </c>
      <c r="H45">
        <v>-223.43327384189899</v>
      </c>
      <c r="I45">
        <v>-162.6896455160439</v>
      </c>
      <c r="J45">
        <v>-101.94601719018981</v>
      </c>
      <c r="K45">
        <v>-41.202388864335582</v>
      </c>
      <c r="L45">
        <v>19.54123946151914</v>
      </c>
      <c r="M45">
        <v>80.284867787373528</v>
      </c>
      <c r="N45">
        <v>141.0284961132283</v>
      </c>
      <c r="O45">
        <v>201.77212443908229</v>
      </c>
    </row>
    <row r="46" spans="1:15" x14ac:dyDescent="0.25">
      <c r="A46" s="1">
        <f t="shared" si="1"/>
        <v>110.99999999999989</v>
      </c>
      <c r="B46">
        <v>-600.02037496124262</v>
      </c>
      <c r="C46">
        <v>-539.47231649287585</v>
      </c>
      <c r="D46">
        <v>-478.92425802450867</v>
      </c>
      <c r="E46">
        <v>-418.37619955614161</v>
      </c>
      <c r="F46">
        <v>-357.82814108777461</v>
      </c>
      <c r="G46">
        <v>-297.28008261940738</v>
      </c>
      <c r="H46">
        <v>-236.73202415104089</v>
      </c>
      <c r="I46">
        <v>-176.18396568267349</v>
      </c>
      <c r="J46">
        <v>-115.6359072143065</v>
      </c>
      <c r="K46">
        <v>-55.087848745939652</v>
      </c>
      <c r="L46">
        <v>5.4602097224274422</v>
      </c>
      <c r="M46">
        <v>66.008268190794212</v>
      </c>
      <c r="N46">
        <v>126.5563266591617</v>
      </c>
      <c r="O46">
        <v>187.10438512752879</v>
      </c>
    </row>
    <row r="47" spans="1:15" x14ac:dyDescent="0.25">
      <c r="A47" s="1">
        <f t="shared" si="1"/>
        <v>112.79999999999988</v>
      </c>
      <c r="B47">
        <v>-612.06787939460662</v>
      </c>
      <c r="C47">
        <v>-551.71413551387434</v>
      </c>
      <c r="D47">
        <v>-491.36039163314172</v>
      </c>
      <c r="E47">
        <v>-431.00664775241029</v>
      </c>
      <c r="F47">
        <v>-370.65290387167732</v>
      </c>
      <c r="G47">
        <v>-310.29915999094572</v>
      </c>
      <c r="H47">
        <v>-249.9454161102135</v>
      </c>
      <c r="I47">
        <v>-189.59167222948119</v>
      </c>
      <c r="J47">
        <v>-129.23792834874911</v>
      </c>
      <c r="K47">
        <v>-68.884184468017509</v>
      </c>
      <c r="L47">
        <v>-8.5304405872850708</v>
      </c>
      <c r="M47">
        <v>51.82330329344709</v>
      </c>
      <c r="N47">
        <v>112.17704717417929</v>
      </c>
      <c r="O47">
        <v>172.53079105491139</v>
      </c>
    </row>
    <row r="48" spans="1:15" x14ac:dyDescent="0.25">
      <c r="A48" s="1">
        <f t="shared" si="1"/>
        <v>114.59999999999988</v>
      </c>
      <c r="B48">
        <v>-624.03830399923629</v>
      </c>
      <c r="C48">
        <v>-563.87763148309477</v>
      </c>
      <c r="D48">
        <v>-503.71695896695343</v>
      </c>
      <c r="E48">
        <v>-443.55628645081208</v>
      </c>
      <c r="F48">
        <v>-383.39561393467051</v>
      </c>
      <c r="G48">
        <v>-323.23494141852962</v>
      </c>
      <c r="H48">
        <v>-263.07426890238861</v>
      </c>
      <c r="I48">
        <v>-202.91359638624681</v>
      </c>
      <c r="J48">
        <v>-142.7529238701058</v>
      </c>
      <c r="K48">
        <v>-82.592251353964542</v>
      </c>
      <c r="L48">
        <v>-22.431578837822649</v>
      </c>
      <c r="M48">
        <v>37.729093678318478</v>
      </c>
      <c r="N48">
        <v>97.889766194460066</v>
      </c>
      <c r="O48">
        <v>158.0504387106013</v>
      </c>
    </row>
    <row r="49" spans="1:15" x14ac:dyDescent="0.25">
      <c r="A49" s="1">
        <f t="shared" si="1"/>
        <v>116.39999999999988</v>
      </c>
      <c r="B49">
        <v>-635.93238615038604</v>
      </c>
      <c r="C49">
        <v>-575.9635536689409</v>
      </c>
      <c r="D49">
        <v>-515.99472118749509</v>
      </c>
      <c r="E49">
        <v>-456.0258887060499</v>
      </c>
      <c r="F49">
        <v>-396.05705622460408</v>
      </c>
      <c r="G49">
        <v>-336.08822374315912</v>
      </c>
      <c r="H49">
        <v>-276.11939126171387</v>
      </c>
      <c r="I49">
        <v>-216.1505587802684</v>
      </c>
      <c r="J49">
        <v>-156.18172629882321</v>
      </c>
      <c r="K49">
        <v>-96.212893817377775</v>
      </c>
      <c r="L49">
        <v>-36.24406133593213</v>
      </c>
      <c r="M49">
        <v>23.724771145512801</v>
      </c>
      <c r="N49">
        <v>83.693603626958549</v>
      </c>
      <c r="O49">
        <v>143.66243610840371</v>
      </c>
    </row>
    <row r="50" spans="1:15" x14ac:dyDescent="0.25">
      <c r="A50" s="1">
        <f t="shared" si="1"/>
        <v>118.19999999999987</v>
      </c>
      <c r="B50">
        <v>-647.75085384784927</v>
      </c>
      <c r="C50">
        <v>-587.97264181313767</v>
      </c>
      <c r="D50">
        <v>-528.19442977842482</v>
      </c>
      <c r="E50">
        <v>-468.41621774371367</v>
      </c>
      <c r="F50">
        <v>-408.63800570900111</v>
      </c>
      <c r="G50">
        <v>-348.85979367428911</v>
      </c>
      <c r="H50">
        <v>-289.08158163957722</v>
      </c>
      <c r="I50">
        <v>-229.30336960486471</v>
      </c>
      <c r="J50">
        <v>-169.52515757015269</v>
      </c>
      <c r="K50">
        <v>-109.746945535441</v>
      </c>
      <c r="L50">
        <v>-49.968733500728383</v>
      </c>
      <c r="M50">
        <v>9.8094785339835706</v>
      </c>
      <c r="N50">
        <v>69.587690568695635</v>
      </c>
      <c r="O50">
        <v>129.36590260340799</v>
      </c>
    </row>
    <row r="51" spans="1:15" x14ac:dyDescent="0.25">
      <c r="A51" s="1">
        <f t="shared" si="1"/>
        <v>119.99999999999987</v>
      </c>
      <c r="B51">
        <v>-659.4944258644997</v>
      </c>
      <c r="C51">
        <v>-599.90562628166958</v>
      </c>
      <c r="D51">
        <v>-540.31682669883878</v>
      </c>
      <c r="E51">
        <v>-480.72802711600832</v>
      </c>
      <c r="F51">
        <v>-421.13922753317701</v>
      </c>
      <c r="G51">
        <v>-361.55042795034677</v>
      </c>
      <c r="H51">
        <v>-301.9616283675162</v>
      </c>
      <c r="I51">
        <v>-242.3728287846854</v>
      </c>
      <c r="J51">
        <v>-182.78402920185519</v>
      </c>
      <c r="K51">
        <v>-123.1952296190244</v>
      </c>
      <c r="L51">
        <v>-63.606430036193508</v>
      </c>
      <c r="M51">
        <v>-4.017630453363271</v>
      </c>
      <c r="N51">
        <v>55.571169129468011</v>
      </c>
      <c r="O51">
        <v>115.15996871229829</v>
      </c>
    </row>
    <row r="52" spans="1:15" x14ac:dyDescent="0.25">
      <c r="A52" t="s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D8CB-7032-42A1-9C29-24B9E38843BC}">
  <dimension ref="A1:R52"/>
  <sheetViews>
    <sheetView topLeftCell="A20" workbookViewId="0">
      <selection activeCell="F59" sqref="F59"/>
    </sheetView>
  </sheetViews>
  <sheetFormatPr defaultRowHeight="15" x14ac:dyDescent="0.25"/>
  <sheetData>
    <row r="1" spans="1:18" x14ac:dyDescent="0.25">
      <c r="B1" s="1">
        <v>20</v>
      </c>
      <c r="C1" s="1">
        <f>B1+5</f>
        <v>25</v>
      </c>
      <c r="D1" s="1">
        <f t="shared" ref="D1:Q1" si="0">C1+5</f>
        <v>30</v>
      </c>
      <c r="E1" s="1">
        <f t="shared" si="0"/>
        <v>35</v>
      </c>
      <c r="F1" s="1">
        <f t="shared" si="0"/>
        <v>40</v>
      </c>
      <c r="G1" s="1">
        <f t="shared" si="0"/>
        <v>45</v>
      </c>
      <c r="H1" s="1">
        <f t="shared" si="0"/>
        <v>50</v>
      </c>
      <c r="I1" s="1">
        <f t="shared" si="0"/>
        <v>55</v>
      </c>
      <c r="J1" s="1">
        <f t="shared" si="0"/>
        <v>60</v>
      </c>
      <c r="K1" s="1">
        <f t="shared" si="0"/>
        <v>65</v>
      </c>
      <c r="L1" s="1">
        <f t="shared" si="0"/>
        <v>70</v>
      </c>
      <c r="M1" s="1">
        <f t="shared" si="0"/>
        <v>75</v>
      </c>
      <c r="N1" s="1">
        <f t="shared" si="0"/>
        <v>80</v>
      </c>
      <c r="O1" s="1">
        <f t="shared" si="0"/>
        <v>85</v>
      </c>
      <c r="P1" s="1">
        <f t="shared" si="0"/>
        <v>90</v>
      </c>
      <c r="Q1" s="1">
        <f t="shared" si="0"/>
        <v>95</v>
      </c>
      <c r="R1" t="s">
        <v>0</v>
      </c>
    </row>
    <row r="2" spans="1:18" x14ac:dyDescent="0.25">
      <c r="A2" s="1">
        <f>30+1.8</f>
        <v>31.8</v>
      </c>
      <c r="B2">
        <v>0.1867974730740348</v>
      </c>
      <c r="C2">
        <v>11.82541852531314</v>
      </c>
      <c r="D2">
        <v>24.332778561924691</v>
      </c>
      <c r="E2">
        <v>37.852250017611979</v>
      </c>
      <c r="F2">
        <v>52.549050877088277</v>
      </c>
      <c r="G2">
        <v>68.613267696490126</v>
      </c>
      <c r="H2">
        <v>86.263348704524631</v>
      </c>
      <c r="I2">
        <v>105.7501729373944</v>
      </c>
      <c r="J2">
        <v>127.3618317818982</v>
      </c>
      <c r="K2">
        <v>151.4292990988917</v>
      </c>
      <c r="L2">
        <v>178.33321848830141</v>
      </c>
      <c r="M2">
        <v>208.51210574217191</v>
      </c>
      <c r="N2">
        <v>242.4723575045812</v>
      </c>
      <c r="O2">
        <v>280.80058279323748</v>
      </c>
      <c r="P2">
        <v>324.1789456804953</v>
      </c>
      <c r="Q2">
        <v>373.40444474185529</v>
      </c>
    </row>
    <row r="3" spans="1:18" x14ac:dyDescent="0.25">
      <c r="A3" s="1">
        <f>A2+1.8</f>
        <v>33.6</v>
      </c>
      <c r="B3">
        <v>-2.701235167981149</v>
      </c>
      <c r="C3">
        <v>8.9146538321437845</v>
      </c>
      <c r="D3">
        <v>21.398327797626219</v>
      </c>
      <c r="E3">
        <v>34.893034490259048</v>
      </c>
      <c r="F3">
        <v>49.563848119300339</v>
      </c>
      <c r="G3">
        <v>65.600689593848031</v>
      </c>
      <c r="H3">
        <v>83.22181641211786</v>
      </c>
      <c r="I3">
        <v>102.67788804394461</v>
      </c>
      <c r="J3">
        <v>124.256743055558</v>
      </c>
      <c r="K3">
        <v>148.289063987275</v>
      </c>
      <c r="L3">
        <v>175.1551583360374</v>
      </c>
      <c r="M3">
        <v>205.2931534166143</v>
      </c>
      <c r="N3">
        <v>239.20899576271131</v>
      </c>
      <c r="O3">
        <v>277.48877125030617</v>
      </c>
      <c r="P3">
        <v>320.81403361134159</v>
      </c>
      <c r="Q3">
        <v>369.98106609887577</v>
      </c>
    </row>
    <row r="4" spans="1:18" x14ac:dyDescent="0.25">
      <c r="A4" s="1">
        <f t="shared" ref="A4:A51" si="1">A3+1.8</f>
        <v>35.4</v>
      </c>
      <c r="B4">
        <v>-5.5847966220405967</v>
      </c>
      <c r="C4">
        <v>6.0084435803588017</v>
      </c>
      <c r="D4">
        <v>18.468521826882011</v>
      </c>
      <c r="E4">
        <v>31.938561543442251</v>
      </c>
      <c r="F4">
        <v>46.583493543320827</v>
      </c>
      <c r="G4">
        <v>62.593073518655167</v>
      </c>
      <c r="H4">
        <v>80.185368727604953</v>
      </c>
      <c r="I4">
        <v>99.610819636127033</v>
      </c>
      <c r="J4">
        <v>121.15701263848381</v>
      </c>
      <c r="K4">
        <v>145.1543397061167</v>
      </c>
      <c r="L4">
        <v>171.98277310822689</v>
      </c>
      <c r="M4">
        <v>202.08005270610141</v>
      </c>
      <c r="N4">
        <v>235.951676125978</v>
      </c>
      <c r="O4">
        <v>274.18320752177863</v>
      </c>
      <c r="P4">
        <v>317.45559196824257</v>
      </c>
      <c r="Q4">
        <v>366.56439940129252</v>
      </c>
    </row>
    <row r="5" spans="1:18" x14ac:dyDescent="0.25">
      <c r="A5" s="1">
        <f t="shared" si="1"/>
        <v>37.199999999999996</v>
      </c>
      <c r="B5">
        <v>-8.4639048917049564</v>
      </c>
      <c r="C5">
        <v>3.1067662238863258</v>
      </c>
      <c r="D5">
        <v>15.54333505157269</v>
      </c>
      <c r="E5">
        <v>28.988800996392719</v>
      </c>
      <c r="F5">
        <v>43.607951830581541</v>
      </c>
      <c r="G5">
        <v>59.590378431822081</v>
      </c>
      <c r="H5">
        <v>77.153958277451466</v>
      </c>
      <c r="I5">
        <v>96.548913356476959</v>
      </c>
      <c r="J5">
        <v>118.06257849899239</v>
      </c>
      <c r="K5">
        <v>142.02505581211329</v>
      </c>
      <c r="L5">
        <v>168.8159831578235</v>
      </c>
      <c r="M5">
        <v>198.87271390381011</v>
      </c>
      <c r="N5">
        <v>232.7002978967021</v>
      </c>
      <c r="O5">
        <v>270.88377889946509</v>
      </c>
      <c r="P5">
        <v>314.10349490776002</v>
      </c>
      <c r="Q5">
        <v>363.15430442035222</v>
      </c>
    </row>
    <row r="6" spans="1:18" x14ac:dyDescent="0.25">
      <c r="A6" s="1">
        <f t="shared" si="1"/>
        <v>38.999999999999993</v>
      </c>
      <c r="B6">
        <v>-11.338576948202279</v>
      </c>
      <c r="C6">
        <v>0.20960160143550441</v>
      </c>
      <c r="D6">
        <v>12.622743662700181</v>
      </c>
      <c r="E6">
        <v>26.043724914862899</v>
      </c>
      <c r="F6">
        <v>40.637190421855017</v>
      </c>
      <c r="G6">
        <v>56.592566624477243</v>
      </c>
      <c r="H6">
        <v>74.12754165024937</v>
      </c>
      <c r="I6">
        <v>93.492119505972937</v>
      </c>
      <c r="J6">
        <v>114.9733840284317</v>
      </c>
      <c r="K6">
        <v>138.90114812230149</v>
      </c>
      <c r="L6">
        <v>165.65471601330989</v>
      </c>
      <c r="M6">
        <v>195.6710554775307</v>
      </c>
      <c r="N6">
        <v>229.45476964185619</v>
      </c>
      <c r="O6">
        <v>267.59038312914601</v>
      </c>
      <c r="P6">
        <v>310.75762833889632</v>
      </c>
      <c r="Q6">
        <v>359.75065409914453</v>
      </c>
    </row>
    <row r="7" spans="1:18" x14ac:dyDescent="0.25">
      <c r="A7" s="1">
        <f t="shared" si="1"/>
        <v>40.79999999999999</v>
      </c>
      <c r="B7">
        <v>-14.20882885007132</v>
      </c>
      <c r="C7">
        <v>-2.6830692255587141</v>
      </c>
      <c r="D7">
        <v>9.7067254286167657</v>
      </c>
      <c r="E7">
        <v>23.103307343044509</v>
      </c>
      <c r="F7">
        <v>37.671179185989693</v>
      </c>
      <c r="G7">
        <v>53.599603316341053</v>
      </c>
      <c r="H7">
        <v>71.106078917208833</v>
      </c>
      <c r="I7">
        <v>90.440392478738545</v>
      </c>
      <c r="J7">
        <v>111.889377381746</v>
      </c>
      <c r="K7">
        <v>135.78255795163719</v>
      </c>
      <c r="L7">
        <v>162.49890550385979</v>
      </c>
      <c r="M7">
        <v>192.475003072308</v>
      </c>
      <c r="N7">
        <v>226.2150080622913</v>
      </c>
      <c r="O7">
        <v>264.30292713456112</v>
      </c>
      <c r="P7">
        <v>307.41788848892878</v>
      </c>
      <c r="Q7">
        <v>356.35333294604823</v>
      </c>
    </row>
    <row r="8" spans="1:18" x14ac:dyDescent="0.25">
      <c r="A8" s="1">
        <f t="shared" si="1"/>
        <v>42.599999999999987</v>
      </c>
      <c r="B8">
        <v>-17.07467584403555</v>
      </c>
      <c r="C8">
        <v>-5.5712641109395662</v>
      </c>
      <c r="D8">
        <v>6.7952595144613914</v>
      </c>
      <c r="E8">
        <v>20.16752407479964</v>
      </c>
      <c r="F8">
        <v>34.709890137052817</v>
      </c>
      <c r="G8">
        <v>50.611456312634793</v>
      </c>
      <c r="H8">
        <v>68.08953322239293</v>
      </c>
      <c r="I8">
        <v>87.393690278831315</v>
      </c>
      <c r="J8">
        <v>108.8105109136708</v>
      </c>
      <c r="K8">
        <v>132.66923146101499</v>
      </c>
      <c r="L8">
        <v>159.34849101110419</v>
      </c>
      <c r="M8">
        <v>189.28448865729641</v>
      </c>
      <c r="N8">
        <v>222.98093702534709</v>
      </c>
      <c r="O8">
        <v>261.0213259256451</v>
      </c>
      <c r="P8">
        <v>304.08418067619527</v>
      </c>
      <c r="Q8">
        <v>352.96223565987111</v>
      </c>
    </row>
    <row r="9" spans="1:18" x14ac:dyDescent="0.25">
      <c r="A9" s="1">
        <f t="shared" si="1"/>
        <v>44.399999999999984</v>
      </c>
      <c r="B9">
        <v>-19.936132450804429</v>
      </c>
      <c r="C9">
        <v>-8.454999941548067</v>
      </c>
      <c r="D9">
        <v>3.888326327861082</v>
      </c>
      <c r="E9">
        <v>17.236352457936501</v>
      </c>
      <c r="F9">
        <v>31.75329719212964</v>
      </c>
      <c r="G9">
        <v>47.628095710125123</v>
      </c>
      <c r="H9">
        <v>65.077870431476143</v>
      </c>
      <c r="I9">
        <v>84.351974105897327</v>
      </c>
      <c r="J9">
        <v>105.7367406951401</v>
      </c>
      <c r="K9">
        <v>129.56111909791369</v>
      </c>
      <c r="L9">
        <v>156.2034168270695</v>
      </c>
      <c r="M9">
        <v>186.09944979354731</v>
      </c>
      <c r="N9">
        <v>219.75248673445989</v>
      </c>
      <c r="O9">
        <v>257.74550166124209</v>
      </c>
      <c r="P9">
        <v>300.75641825638712</v>
      </c>
      <c r="Q9">
        <v>349.57726594922752</v>
      </c>
    </row>
    <row r="10" spans="1:18" x14ac:dyDescent="0.25">
      <c r="A10" s="1">
        <f t="shared" si="1"/>
        <v>46.199999999999982</v>
      </c>
      <c r="B10">
        <v>-22.793212538060619</v>
      </c>
      <c r="C10">
        <v>-11.334292737766299</v>
      </c>
      <c r="D10">
        <v>0.98590738682043588</v>
      </c>
      <c r="E10">
        <v>14.30977122635977</v>
      </c>
      <c r="F10">
        <v>28.801375963385102</v>
      </c>
      <c r="G10">
        <v>44.649493644551619</v>
      </c>
      <c r="H10">
        <v>62.071058829771978</v>
      </c>
      <c r="I10">
        <v>81.315207998785723</v>
      </c>
      <c r="J10">
        <v>102.6680260971925</v>
      </c>
      <c r="K10">
        <v>126.4581751149755</v>
      </c>
      <c r="L10">
        <v>153.06363160143891</v>
      </c>
      <c r="M10">
        <v>182.91982900352869</v>
      </c>
      <c r="N10">
        <v>216.52959301401179</v>
      </c>
      <c r="O10">
        <v>254.47538284175911</v>
      </c>
      <c r="P10">
        <v>297.43452171477941</v>
      </c>
      <c r="Q10">
        <v>346.19833551527739</v>
      </c>
    </row>
    <row r="11" spans="1:18" x14ac:dyDescent="0.25">
      <c r="A11" s="1">
        <f t="shared" si="1"/>
        <v>47.999999999999979</v>
      </c>
      <c r="B11">
        <v>-25.64592938250474</v>
      </c>
      <c r="C11">
        <v>-14.20915773945873</v>
      </c>
      <c r="D11">
        <v>-1.9120147935772229</v>
      </c>
      <c r="E11">
        <v>11.38776035581305</v>
      </c>
      <c r="F11">
        <v>25.854103579092762</v>
      </c>
      <c r="G11">
        <v>41.675624073015953</v>
      </c>
      <c r="H11">
        <v>59.069068861864622</v>
      </c>
      <c r="I11">
        <v>78.283358528088698</v>
      </c>
      <c r="J11">
        <v>99.604329431840441</v>
      </c>
      <c r="K11">
        <v>123.3603571543434</v>
      </c>
      <c r="L11">
        <v>149.92908786417269</v>
      </c>
      <c r="M11">
        <v>179.7455732264653</v>
      </c>
      <c r="N11">
        <v>213.3121966913873</v>
      </c>
      <c r="O11">
        <v>251.21090361141759</v>
      </c>
      <c r="P11">
        <v>294.11841788154243</v>
      </c>
      <c r="Q11">
        <v>342.82536317222969</v>
      </c>
    </row>
    <row r="12" spans="1:18" x14ac:dyDescent="0.25">
      <c r="A12" s="1">
        <f t="shared" si="1"/>
        <v>49.799999999999976</v>
      </c>
      <c r="B12">
        <v>-28.49429572246633</v>
      </c>
      <c r="C12">
        <v>-17.079609479401011</v>
      </c>
      <c r="D12">
        <v>-4.8054567984148768</v>
      </c>
      <c r="E12">
        <v>8.4703009396969406</v>
      </c>
      <c r="F12">
        <v>22.911458529260209</v>
      </c>
      <c r="G12">
        <v>38.706462586008733</v>
      </c>
      <c r="H12">
        <v>56.071872906464129</v>
      </c>
      <c r="I12">
        <v>75.256394530062309</v>
      </c>
      <c r="J12">
        <v>96.545615641077887</v>
      </c>
      <c r="K12">
        <v>120.2676258875306</v>
      </c>
      <c r="L12">
        <v>146.7997416117293</v>
      </c>
      <c r="M12">
        <v>176.57663334607111</v>
      </c>
      <c r="N12">
        <v>210.1002430609891</v>
      </c>
      <c r="O12">
        <v>247.95200315286979</v>
      </c>
      <c r="P12">
        <v>290.80803925073718</v>
      </c>
      <c r="Q12">
        <v>339.45827408385901</v>
      </c>
    </row>
    <row r="13" spans="1:18" x14ac:dyDescent="0.25">
      <c r="A13" s="1">
        <f t="shared" si="1"/>
        <v>51.599999999999973</v>
      </c>
      <c r="B13">
        <v>-31.33832380239172</v>
      </c>
      <c r="C13">
        <v>-19.94566184598775</v>
      </c>
      <c r="D13">
        <v>-7.6944343964718689</v>
      </c>
      <c r="E13">
        <v>5.5573750820066454</v>
      </c>
      <c r="F13">
        <v>19.97342053220558</v>
      </c>
      <c r="G13">
        <v>35.741986244664787</v>
      </c>
      <c r="H13">
        <v>53.079445081231661</v>
      </c>
      <c r="I13">
        <v>72.234286875746449</v>
      </c>
      <c r="J13">
        <v>93.491852026829733</v>
      </c>
      <c r="K13">
        <v>117.1799447025162</v>
      </c>
      <c r="L13">
        <v>143.67555194737321</v>
      </c>
      <c r="M13">
        <v>173.4129637798425</v>
      </c>
      <c r="N13">
        <v>206.89368141795009</v>
      </c>
      <c r="O13">
        <v>244.69862516036221</v>
      </c>
      <c r="P13">
        <v>287.50332338748711</v>
      </c>
      <c r="Q13">
        <v>336.09699909867749</v>
      </c>
    </row>
    <row r="14" spans="1:18" x14ac:dyDescent="0.25">
      <c r="A14" s="1">
        <f t="shared" si="1"/>
        <v>53.39999999999997</v>
      </c>
      <c r="B14">
        <v>-34.178025410236742</v>
      </c>
      <c r="C14">
        <v>-22.807328136645161</v>
      </c>
      <c r="D14">
        <v>-10.5789626119258</v>
      </c>
      <c r="E14">
        <v>2.648965804976434</v>
      </c>
      <c r="F14">
        <v>17.039970419079019</v>
      </c>
      <c r="G14">
        <v>32.782173439575118</v>
      </c>
      <c r="H14">
        <v>50.091761073164683</v>
      </c>
      <c r="I14">
        <v>69.217008270057363</v>
      </c>
      <c r="J14">
        <v>90.443008015717538</v>
      </c>
      <c r="K14">
        <v>114.0972794309567</v>
      </c>
      <c r="L14">
        <v>140.55648076738049</v>
      </c>
      <c r="M14">
        <v>170.25452212054881</v>
      </c>
      <c r="N14">
        <v>203.69246465089449</v>
      </c>
      <c r="O14">
        <v>241.45071737939651</v>
      </c>
      <c r="P14">
        <v>284.2042124097506</v>
      </c>
      <c r="Q14">
        <v>332.74147416852651</v>
      </c>
    </row>
    <row r="15" spans="1:18" x14ac:dyDescent="0.25">
      <c r="A15" s="1">
        <f t="shared" si="1"/>
        <v>55.199999999999967</v>
      </c>
      <c r="B15">
        <v>-37.01341190867938</v>
      </c>
      <c r="C15">
        <v>-25.664621103194541</v>
      </c>
      <c r="D15">
        <v>-13.45905578585028</v>
      </c>
      <c r="E15">
        <v>-0.25494303062022672</v>
      </c>
      <c r="F15">
        <v>14.11109003379933</v>
      </c>
      <c r="G15">
        <v>29.827003768094439</v>
      </c>
      <c r="H15">
        <v>47.108797990892953</v>
      </c>
      <c r="I15">
        <v>66.204533076557723</v>
      </c>
      <c r="J15">
        <v>87.399054953638185</v>
      </c>
      <c r="K15">
        <v>111.0195981097348</v>
      </c>
      <c r="L15">
        <v>137.44249248652099</v>
      </c>
      <c r="M15">
        <v>167.10126882237719</v>
      </c>
      <c r="N15">
        <v>200.49654888520681</v>
      </c>
      <c r="O15">
        <v>238.2082312032656</v>
      </c>
      <c r="P15">
        <v>280.91065253388592</v>
      </c>
      <c r="Q15">
        <v>329.39163983848857</v>
      </c>
    </row>
    <row r="16" spans="1:18" x14ac:dyDescent="0.25">
      <c r="A16" s="1">
        <f t="shared" si="1"/>
        <v>56.999999999999964</v>
      </c>
      <c r="B16">
        <v>-39.844494260880829</v>
      </c>
      <c r="C16">
        <v>-28.517552990168522</v>
      </c>
      <c r="D16">
        <v>-16.334727628827579</v>
      </c>
      <c r="E16">
        <v>-3.1543667941966378</v>
      </c>
      <c r="F16">
        <v>11.186762146314249</v>
      </c>
      <c r="G16">
        <v>26.876457927594089</v>
      </c>
      <c r="H16">
        <v>44.130534235825408</v>
      </c>
      <c r="I16">
        <v>63.196837164279657</v>
      </c>
      <c r="J16">
        <v>84.359965925910018</v>
      </c>
      <c r="K16">
        <v>107.9468707719204</v>
      </c>
      <c r="L16">
        <v>134.3335537971459</v>
      </c>
      <c r="M16">
        <v>163.95316692525151</v>
      </c>
      <c r="N16">
        <v>197.30589316943991</v>
      </c>
      <c r="O16">
        <v>234.9711213181229</v>
      </c>
      <c r="P16">
        <v>277.62259367461849</v>
      </c>
      <c r="Q16">
        <v>326.04744079758348</v>
      </c>
    </row>
    <row r="17" spans="1:17" x14ac:dyDescent="0.25">
      <c r="A17" s="1">
        <f t="shared" si="1"/>
        <v>58.799999999999962</v>
      </c>
      <c r="B17">
        <v>-42.671283051447432</v>
      </c>
      <c r="C17">
        <v>-31.36613556696194</v>
      </c>
      <c r="D17">
        <v>-19.20599126582108</v>
      </c>
      <c r="E17">
        <v>-6.0493201445474369</v>
      </c>
      <c r="F17">
        <v>8.2669703774078638</v>
      </c>
      <c r="G17">
        <v>23.93051762251125</v>
      </c>
      <c r="H17">
        <v>41.156949389586153</v>
      </c>
      <c r="I17">
        <v>60.193897773585661</v>
      </c>
      <c r="J17">
        <v>81.325715599474137</v>
      </c>
      <c r="K17">
        <v>104.8790692630871</v>
      </c>
      <c r="L17">
        <v>131.22963345723139</v>
      </c>
      <c r="M17">
        <v>160.81018181202509</v>
      </c>
      <c r="N17">
        <v>194.12045919886151</v>
      </c>
      <c r="O17">
        <v>231.7393453898251</v>
      </c>
      <c r="P17">
        <v>274.33998909181469</v>
      </c>
      <c r="Q17">
        <v>322.7088254817445</v>
      </c>
    </row>
    <row r="18" spans="1:17" x14ac:dyDescent="0.25">
      <c r="A18" s="1">
        <f t="shared" si="1"/>
        <v>60.599999999999959</v>
      </c>
      <c r="B18">
        <v>-45.493788503116527</v>
      </c>
      <c r="C18">
        <v>-34.210380154528387</v>
      </c>
      <c r="D18">
        <v>-22.072859274238269</v>
      </c>
      <c r="E18">
        <v>-8.939817080694711</v>
      </c>
      <c r="F18">
        <v>5.3516991335862674</v>
      </c>
      <c r="G18">
        <v>20.989165483405099</v>
      </c>
      <c r="H18">
        <v>38.188024115594111</v>
      </c>
      <c r="I18">
        <v>57.195693398526281</v>
      </c>
      <c r="J18">
        <v>78.296280084173929</v>
      </c>
      <c r="K18">
        <v>101.8161670795284</v>
      </c>
      <c r="L18">
        <v>128.1307021033987</v>
      </c>
      <c r="M18">
        <v>157.6722809940014</v>
      </c>
      <c r="N18">
        <v>190.94021107096651</v>
      </c>
      <c r="O18">
        <v>228.51286378669451</v>
      </c>
      <c r="P18">
        <v>271.06279507747138</v>
      </c>
      <c r="Q18">
        <v>319.37574572167932</v>
      </c>
    </row>
    <row r="19" spans="1:17" x14ac:dyDescent="0.25">
      <c r="A19" s="1">
        <f t="shared" si="1"/>
        <v>62.399999999999956</v>
      </c>
      <c r="B19">
        <v>-48.31202048964699</v>
      </c>
      <c r="C19">
        <v>-37.050297647263363</v>
      </c>
      <c r="D19">
        <v>-24.93534371600818</v>
      </c>
      <c r="E19">
        <v>-11.82587098541787</v>
      </c>
      <c r="F19">
        <v>2.4409335507756169</v>
      </c>
      <c r="G19">
        <v>18.052384996493451</v>
      </c>
      <c r="H19">
        <v>35.223740072969854</v>
      </c>
      <c r="I19">
        <v>54.20220368356064</v>
      </c>
      <c r="J19">
        <v>75.271636810629161</v>
      </c>
      <c r="K19">
        <v>98.758139225509339</v>
      </c>
      <c r="L19">
        <v>125.0367320856321</v>
      </c>
      <c r="M19">
        <v>154.5394339210454</v>
      </c>
      <c r="N19">
        <v>187.76511506872899</v>
      </c>
      <c r="O19">
        <v>225.2916393334383</v>
      </c>
      <c r="P19">
        <v>267.79097067757368</v>
      </c>
      <c r="Q19">
        <v>316.04815642963342</v>
      </c>
    </row>
    <row r="20" spans="1:17" x14ac:dyDescent="0.25">
      <c r="A20" s="1">
        <f t="shared" si="1"/>
        <v>64.19999999999996</v>
      </c>
      <c r="B20">
        <v>-51.125988545318563</v>
      </c>
      <c r="C20">
        <v>-39.885898530609808</v>
      </c>
      <c r="D20">
        <v>-27.79345616436375</v>
      </c>
      <c r="E20">
        <v>-14.70749466233328</v>
      </c>
      <c r="F20">
        <v>-0.4653405542325304</v>
      </c>
      <c r="G20">
        <v>15.12016044238155</v>
      </c>
      <c r="H20">
        <v>32.264079841234938</v>
      </c>
      <c r="I20">
        <v>51.213409332830203</v>
      </c>
      <c r="J20">
        <v>72.251764422595727</v>
      </c>
      <c r="K20">
        <v>95.704962087114708</v>
      </c>
      <c r="L20">
        <v>121.9476973208908</v>
      </c>
      <c r="M20">
        <v>151.41161181309411</v>
      </c>
      <c r="N20">
        <v>184.59513946797151</v>
      </c>
      <c r="O20">
        <v>222.07563709213809</v>
      </c>
      <c r="P20">
        <v>264.52447744422989</v>
      </c>
      <c r="Q20">
        <v>312.72601531991222</v>
      </c>
    </row>
    <row r="21" spans="1:17" x14ac:dyDescent="0.25">
      <c r="A21" s="1">
        <f t="shared" si="1"/>
        <v>65.999999999999957</v>
      </c>
      <c r="B21">
        <v>-53.935701871378193</v>
      </c>
      <c r="C21">
        <v>-42.717192894834078</v>
      </c>
      <c r="D21">
        <v>-30.647207725903801</v>
      </c>
      <c r="E21">
        <v>-17.584700367246182</v>
      </c>
      <c r="F21">
        <v>-3.3671367254786899</v>
      </c>
      <c r="G21">
        <v>12.192476842904879</v>
      </c>
      <c r="H21">
        <v>29.309026854513721</v>
      </c>
      <c r="I21">
        <v>48.229292030463398</v>
      </c>
      <c r="J21">
        <v>69.23664268202937</v>
      </c>
      <c r="K21">
        <v>92.656613320627727</v>
      </c>
      <c r="L21">
        <v>118.8635731632455</v>
      </c>
      <c r="M21">
        <v>148.2887875103535</v>
      </c>
      <c r="N21">
        <v>181.43025436577091</v>
      </c>
      <c r="O21">
        <v>218.86482416682631</v>
      </c>
      <c r="P21">
        <v>261.26327921416032</v>
      </c>
      <c r="Q21">
        <v>309.40928265876443</v>
      </c>
    </row>
    <row r="22" spans="1:17" x14ac:dyDescent="0.25">
      <c r="A22" s="1">
        <f t="shared" si="1"/>
        <v>67.799999999999955</v>
      </c>
      <c r="B22">
        <v>-56.741169339777699</v>
      </c>
      <c r="C22">
        <v>-45.544190445412113</v>
      </c>
      <c r="D22">
        <v>-33.49660905848517</v>
      </c>
      <c r="E22">
        <v>-20.457499834448559</v>
      </c>
      <c r="F22">
        <v>-6.2644679034870228</v>
      </c>
      <c r="G22">
        <v>9.2693199151214856</v>
      </c>
      <c r="H22">
        <v>26.358565344106101</v>
      </c>
      <c r="I22">
        <v>45.249834370594577</v>
      </c>
      <c r="J22">
        <v>66.226252385335897</v>
      </c>
      <c r="K22">
        <v>89.613071753704759</v>
      </c>
      <c r="L22">
        <v>115.7843362885602</v>
      </c>
      <c r="M22">
        <v>145.17093533994921</v>
      </c>
      <c r="N22">
        <v>178.2704315273883</v>
      </c>
      <c r="O22">
        <v>215.65916952883509</v>
      </c>
      <c r="P22">
        <v>258.00734191039862</v>
      </c>
      <c r="Q22">
        <v>306.09792104012718</v>
      </c>
    </row>
    <row r="23" spans="1:17" x14ac:dyDescent="0.25">
      <c r="A23" s="1">
        <f t="shared" si="1"/>
        <v>69.599999999999952</v>
      </c>
      <c r="B23">
        <v>-59.542399494453868</v>
      </c>
      <c r="C23">
        <v>-48.366900510352593</v>
      </c>
      <c r="D23">
        <v>-36.341670385360942</v>
      </c>
      <c r="E23">
        <v>-23.32590429848381</v>
      </c>
      <c r="F23">
        <v>-9.1573464555126591</v>
      </c>
      <c r="G23">
        <v>6.3506760316758681</v>
      </c>
      <c r="H23">
        <v>23.41268028849888</v>
      </c>
      <c r="I23">
        <v>42.275019795994027</v>
      </c>
      <c r="J23">
        <v>63.220575289516063</v>
      </c>
      <c r="K23">
        <v>86.574317297843621</v>
      </c>
      <c r="L23">
        <v>112.7099645919934</v>
      </c>
      <c r="M23">
        <v>142.05803099704909</v>
      </c>
      <c r="N23">
        <v>175.11564424946809</v>
      </c>
      <c r="O23">
        <v>212.45864386036209</v>
      </c>
      <c r="P23">
        <v>254.75663336432541</v>
      </c>
      <c r="Q23">
        <v>302.79189518399932</v>
      </c>
    </row>
    <row r="24" spans="1:17" x14ac:dyDescent="0.25">
      <c r="A24" s="1">
        <f t="shared" si="1"/>
        <v>71.399999999999949</v>
      </c>
      <c r="B24">
        <v>-62.339400550422177</v>
      </c>
      <c r="C24">
        <v>-51.185332044796787</v>
      </c>
      <c r="D24">
        <v>-39.182401505982376</v>
      </c>
      <c r="E24">
        <v>-26.189924511884339</v>
      </c>
      <c r="F24">
        <v>-12.045784200989059</v>
      </c>
      <c r="G24">
        <v>3.43653218682037</v>
      </c>
      <c r="H24">
        <v>20.471357369981451</v>
      </c>
      <c r="I24">
        <v>39.304832544342148</v>
      </c>
      <c r="J24">
        <v>60.219594047092237</v>
      </c>
      <c r="K24">
        <v>83.540330870875493</v>
      </c>
      <c r="L24">
        <v>109.6404370968732</v>
      </c>
      <c r="M24">
        <v>138.9500514388312</v>
      </c>
      <c r="N24">
        <v>171.96586723767689</v>
      </c>
      <c r="O24">
        <v>209.26321941420829</v>
      </c>
      <c r="P24">
        <v>251.51112315575159</v>
      </c>
      <c r="Q24">
        <v>299.49117175490431</v>
      </c>
    </row>
    <row r="25" spans="1:17" x14ac:dyDescent="0.25">
      <c r="A25" s="1">
        <f t="shared" si="1"/>
        <v>73.199999999999946</v>
      </c>
      <c r="B25">
        <v>-65.132180390909383</v>
      </c>
      <c r="C25">
        <v>-53.999493633175341</v>
      </c>
      <c r="D25">
        <v>-42.01881180381109</v>
      </c>
      <c r="E25">
        <v>-29.04957075930319</v>
      </c>
      <c r="F25">
        <v>-14.92979243268257</v>
      </c>
      <c r="G25">
        <v>0.52687596749110077</v>
      </c>
      <c r="H25">
        <v>17.534582937155491</v>
      </c>
      <c r="I25">
        <v>36.339257601319183</v>
      </c>
      <c r="J25">
        <v>57.223292148858413</v>
      </c>
      <c r="K25">
        <v>80.511094328379443</v>
      </c>
      <c r="L25">
        <v>106.575733873692</v>
      </c>
      <c r="M25">
        <v>135.84697478986951</v>
      </c>
      <c r="N25">
        <v>168.82107649717091</v>
      </c>
      <c r="O25">
        <v>206.07286988787379</v>
      </c>
      <c r="P25">
        <v>248.27078246902241</v>
      </c>
      <c r="Q25">
        <v>296.19571919817952</v>
      </c>
    </row>
    <row r="26" spans="1:17" x14ac:dyDescent="0.25">
      <c r="A26" s="1">
        <f t="shared" si="1"/>
        <v>74.999999999999943</v>
      </c>
      <c r="B26">
        <v>-67.920746562731154</v>
      </c>
      <c r="C26">
        <v>-56.809393489176628</v>
      </c>
      <c r="D26">
        <v>-44.85091025145033</v>
      </c>
      <c r="E26">
        <v>-31.904852868413229</v>
      </c>
      <c r="F26">
        <v>-17.809381933999539</v>
      </c>
      <c r="G26">
        <v>-2.3783044710884269</v>
      </c>
      <c r="H26">
        <v>14.6023439727216</v>
      </c>
      <c r="I26">
        <v>33.378280659793361</v>
      </c>
      <c r="J26">
        <v>54.231653873626463</v>
      </c>
      <c r="K26">
        <v>77.486590403071418</v>
      </c>
      <c r="L26">
        <v>103.5158359681391</v>
      </c>
      <c r="M26">
        <v>132.74878025771491</v>
      </c>
      <c r="N26">
        <v>165.6812492345143</v>
      </c>
      <c r="O26">
        <v>202.88757031046899</v>
      </c>
      <c r="P26">
        <v>245.03558396341319</v>
      </c>
      <c r="Q26">
        <v>292.90550759216302</v>
      </c>
    </row>
    <row r="27" spans="1:17" x14ac:dyDescent="0.25">
      <c r="A27" s="1">
        <f t="shared" si="1"/>
        <v>76.79999999999994</v>
      </c>
      <c r="B27">
        <v>-70.705106270112239</v>
      </c>
      <c r="C27">
        <v>-59.615039453765142</v>
      </c>
      <c r="D27">
        <v>-47.678705413383341</v>
      </c>
      <c r="E27">
        <v>-34.755780217916033</v>
      </c>
      <c r="F27">
        <v>-20.68456299285042</v>
      </c>
      <c r="G27">
        <v>-5.2790204257491231</v>
      </c>
      <c r="H27">
        <v>11.674628065993129</v>
      </c>
      <c r="I27">
        <v>30.42188808447354</v>
      </c>
      <c r="J27">
        <v>51.244664244242408</v>
      </c>
      <c r="K27">
        <v>74.466802651341652</v>
      </c>
      <c r="L27">
        <v>100.4607253372379</v>
      </c>
      <c r="M27">
        <v>129.65544805761789</v>
      </c>
      <c r="N27">
        <v>162.5463637698663</v>
      </c>
      <c r="O27">
        <v>199.70729694111529</v>
      </c>
      <c r="P27">
        <v>241.80550165634719</v>
      </c>
      <c r="Q27">
        <v>289.62050851464551</v>
      </c>
    </row>
    <row r="28" spans="1:17" x14ac:dyDescent="0.25">
      <c r="A28" s="1">
        <f t="shared" si="1"/>
        <v>78.599999999999937</v>
      </c>
      <c r="B28">
        <v>-73.485266367124723</v>
      </c>
      <c r="C28">
        <v>-62.416438991460858</v>
      </c>
      <c r="D28">
        <v>-50.50220544656969</v>
      </c>
      <c r="E28">
        <v>-37.602361742958912</v>
      </c>
      <c r="F28">
        <v>-23.555345412422291</v>
      </c>
      <c r="G28">
        <v>-8.1752826620751904</v>
      </c>
      <c r="H28">
        <v>8.7514233896593101</v>
      </c>
      <c r="I28">
        <v>27.47006688147497</v>
      </c>
      <c r="J28">
        <v>48.262308989240893</v>
      </c>
      <c r="K28">
        <v>71.451715406219748</v>
      </c>
      <c r="L28">
        <v>97.410384792769904</v>
      </c>
      <c r="M28">
        <v>126.566959345472</v>
      </c>
      <c r="N28">
        <v>159.416399458402</v>
      </c>
      <c r="O28">
        <v>196.5320271776832</v>
      </c>
      <c r="P28">
        <v>238.5805108181433</v>
      </c>
      <c r="Q28">
        <v>286.3406949221565</v>
      </c>
    </row>
    <row r="29" spans="1:17" x14ac:dyDescent="0.25">
      <c r="A29" s="1">
        <f t="shared" si="1"/>
        <v>80.399999999999935</v>
      </c>
      <c r="B29">
        <v>-76.261233348914885</v>
      </c>
      <c r="C29">
        <v>-65.213599185082018</v>
      </c>
      <c r="D29">
        <v>-53.32141809913908</v>
      </c>
      <c r="E29">
        <v>-40.444605938240628</v>
      </c>
      <c r="F29">
        <v>-26.421738519186679</v>
      </c>
      <c r="G29">
        <v>-11.067101427837819</v>
      </c>
      <c r="H29">
        <v>5.8327186803629489</v>
      </c>
      <c r="I29">
        <v>24.522804672301639</v>
      </c>
      <c r="J29">
        <v>45.284574509573098</v>
      </c>
      <c r="K29">
        <v>68.441313736129644</v>
      </c>
      <c r="L29">
        <v>94.364797951266752</v>
      </c>
      <c r="M29">
        <v>123.483296158173</v>
      </c>
      <c r="N29">
        <v>156.29133662007101</v>
      </c>
      <c r="O29">
        <v>193.36173947486691</v>
      </c>
      <c r="P29">
        <v>235.3605878771904</v>
      </c>
      <c r="Q29">
        <v>283.06604104085881</v>
      </c>
    </row>
    <row r="30" spans="1:17" x14ac:dyDescent="0.25">
      <c r="A30" s="1">
        <f t="shared" si="1"/>
        <v>82.199999999999932</v>
      </c>
      <c r="B30">
        <v>-79.033013341862301</v>
      </c>
      <c r="C30">
        <v>-68.006526729119955</v>
      </c>
      <c r="D30">
        <v>-56.136350707381048</v>
      </c>
      <c r="E30">
        <v>-43.282520859039131</v>
      </c>
      <c r="F30">
        <v>-29.283751168415961</v>
      </c>
      <c r="G30">
        <v>-13.9544864634825</v>
      </c>
      <c r="H30">
        <v>2.9185032227242438</v>
      </c>
      <c r="I30">
        <v>21.580089671820321</v>
      </c>
      <c r="J30">
        <v>42.31144784992243</v>
      </c>
      <c r="K30">
        <v>65.435583408880717</v>
      </c>
      <c r="L30">
        <v>91.323949189945651</v>
      </c>
      <c r="M30">
        <v>120.404441360687</v>
      </c>
      <c r="N30">
        <v>153.17115647689729</v>
      </c>
      <c r="O30">
        <v>190.1964132707073</v>
      </c>
      <c r="P30">
        <v>232.1457103345569</v>
      </c>
      <c r="Q30">
        <v>279.79652226795429</v>
      </c>
    </row>
    <row r="31" spans="1:17" x14ac:dyDescent="0.25">
      <c r="A31" s="1">
        <f t="shared" si="1"/>
        <v>83.999999999999929</v>
      </c>
      <c r="B31">
        <v>-81.800612092824153</v>
      </c>
      <c r="C31">
        <v>-70.795227921924536</v>
      </c>
      <c r="D31">
        <v>-58.947010191237787</v>
      </c>
      <c r="E31">
        <v>-46.116114120400383</v>
      </c>
      <c r="F31">
        <v>-32.141391747482693</v>
      </c>
      <c r="G31">
        <v>-16.83744700998254</v>
      </c>
      <c r="H31">
        <v>8.7668364546381328E-3</v>
      </c>
      <c r="I31">
        <v>18.641910669824949</v>
      </c>
      <c r="J31">
        <v>39.342916674155759</v>
      </c>
      <c r="K31">
        <v>62.434510860389437</v>
      </c>
      <c r="L31">
        <v>88.287823608021313</v>
      </c>
      <c r="M31">
        <v>117.3303785992015</v>
      </c>
      <c r="N31">
        <v>150.05584109712939</v>
      </c>
      <c r="O31">
        <v>187.03602892079959</v>
      </c>
      <c r="P31">
        <v>228.935856687192</v>
      </c>
      <c r="Q31">
        <v>276.53211508267287</v>
      </c>
    </row>
    <row r="32" spans="1:17" x14ac:dyDescent="0.25">
      <c r="A32" s="1">
        <f t="shared" si="1"/>
        <v>85.799999999999926</v>
      </c>
      <c r="B32">
        <v>-84.564034957594089</v>
      </c>
      <c r="C32">
        <v>-73.579708656850457</v>
      </c>
      <c r="D32">
        <v>-61.753403048474432</v>
      </c>
      <c r="E32">
        <v>-48.945392894690343</v>
      </c>
      <c r="F32">
        <v>-34.994668177174781</v>
      </c>
      <c r="G32">
        <v>-19.715991814326781</v>
      </c>
      <c r="H32">
        <v>-2.8965001337443832</v>
      </c>
      <c r="I32">
        <v>15.708257015843239</v>
      </c>
      <c r="J32">
        <v>36.378969244516533</v>
      </c>
      <c r="K32">
        <v>59.438083167686877</v>
      </c>
      <c r="L32">
        <v>85.256406992897524</v>
      </c>
      <c r="M32">
        <v>114.2610922597995</v>
      </c>
      <c r="N32">
        <v>146.9453733456161</v>
      </c>
      <c r="O32">
        <v>183.88056763949211</v>
      </c>
      <c r="P32">
        <v>225.73100635895489</v>
      </c>
      <c r="Q32">
        <v>273.27279696600158</v>
      </c>
    </row>
    <row r="33" spans="1:17" x14ac:dyDescent="0.25">
      <c r="A33" s="1">
        <f t="shared" si="1"/>
        <v>87.599999999999923</v>
      </c>
      <c r="B33">
        <v>-87.323286888683114</v>
      </c>
      <c r="C33">
        <v>-76.359974412488128</v>
      </c>
      <c r="D33">
        <v>-64.555535347670485</v>
      </c>
      <c r="E33">
        <v>-51.770363907676668</v>
      </c>
      <c r="F33">
        <v>-37.843587911219821</v>
      </c>
      <c r="G33">
        <v>-22.590129132864931</v>
      </c>
      <c r="H33">
        <v>-5.7973068257558609</v>
      </c>
      <c r="I33">
        <v>12.779118606889901</v>
      </c>
      <c r="J33">
        <v>33.419594404222082</v>
      </c>
      <c r="K33">
        <v>56.446288025829247</v>
      </c>
      <c r="L33">
        <v>82.229685790803671</v>
      </c>
      <c r="M33">
        <v>111.19656743217119</v>
      </c>
      <c r="N33">
        <v>143.8397368398627</v>
      </c>
      <c r="O33">
        <v>180.73001144746669</v>
      </c>
      <c r="P33">
        <v>222.53113963879079</v>
      </c>
      <c r="Q33">
        <v>270.01854632839809</v>
      </c>
    </row>
    <row r="34" spans="1:17" x14ac:dyDescent="0.25">
      <c r="A34" s="1">
        <f t="shared" si="1"/>
        <v>89.39999999999992</v>
      </c>
      <c r="B34">
        <v>-90.078372422570894</v>
      </c>
      <c r="C34">
        <v>-79.136030242150539</v>
      </c>
      <c r="D34">
        <v>-67.35341272022724</v>
      </c>
      <c r="E34">
        <v>-54.591033433360323</v>
      </c>
      <c r="F34">
        <v>-40.688157934265313</v>
      </c>
      <c r="G34">
        <v>-25.4598667327847</v>
      </c>
      <c r="H34">
        <v>-8.6936618653980968</v>
      </c>
      <c r="I34">
        <v>9.8544858778333744</v>
      </c>
      <c r="J34">
        <v>30.46478156310063</v>
      </c>
      <c r="K34">
        <v>53.45911372831322</v>
      </c>
      <c r="L34">
        <v>79.207647081444946</v>
      </c>
      <c r="M34">
        <v>108.136789877892</v>
      </c>
      <c r="N34">
        <v>140.73891591126019</v>
      </c>
      <c r="O34">
        <v>177.58434312515459</v>
      </c>
      <c r="P34">
        <v>219.33623762546631</v>
      </c>
      <c r="Q34">
        <v>266.76934244485818</v>
      </c>
    </row>
    <row r="35" spans="1:17" x14ac:dyDescent="0.25">
      <c r="A35" s="1">
        <f t="shared" si="1"/>
        <v>91.199999999999918</v>
      </c>
      <c r="B35">
        <v>-92.829295666489685</v>
      </c>
      <c r="C35">
        <v>-81.907880762686943</v>
      </c>
      <c r="D35">
        <v>-70.147040351475155</v>
      </c>
      <c r="E35">
        <v>-57.407407287657158</v>
      </c>
      <c r="F35">
        <v>-43.528384758434377</v>
      </c>
      <c r="G35">
        <v>-28.325211891864519</v>
      </c>
      <c r="H35">
        <v>-11.585573369723081</v>
      </c>
      <c r="I35">
        <v>6.9343497941719718</v>
      </c>
      <c r="J35">
        <v>27.514520686026959</v>
      </c>
      <c r="K35">
        <v>50.476549150714433</v>
      </c>
      <c r="L35">
        <v>76.190278556336921</v>
      </c>
      <c r="M35">
        <v>105.0817460028908</v>
      </c>
      <c r="N35">
        <v>137.6428955710532</v>
      </c>
      <c r="O35">
        <v>174.4435461714915</v>
      </c>
      <c r="P35">
        <v>216.14628217830199</v>
      </c>
      <c r="Q35">
        <v>263.52516539670012</v>
      </c>
    </row>
    <row r="36" spans="1:17" x14ac:dyDescent="0.25">
      <c r="A36" s="1">
        <f t="shared" si="1"/>
        <v>92.999999999999915</v>
      </c>
      <c r="B36">
        <v>-95.576060284866855</v>
      </c>
      <c r="C36">
        <v>-84.675530142769119</v>
      </c>
      <c r="D36">
        <v>-72.93642297104671</v>
      </c>
      <c r="E36">
        <v>-60.219490821115933</v>
      </c>
      <c r="F36">
        <v>-46.364274418665907</v>
      </c>
      <c r="G36">
        <v>-31.186171396733329</v>
      </c>
      <c r="H36">
        <v>-14.47304894851815</v>
      </c>
      <c r="I36">
        <v>4.0187018469399183</v>
      </c>
      <c r="J36">
        <v>24.56880228385214</v>
      </c>
      <c r="K36">
        <v>47.498583737217551</v>
      </c>
      <c r="L36">
        <v>73.177568500467643</v>
      </c>
      <c r="M36">
        <v>102.0314228337193</v>
      </c>
      <c r="N36">
        <v>134.5516614806308</v>
      </c>
      <c r="O36">
        <v>171.3076047675649</v>
      </c>
      <c r="P36">
        <v>212.9612558734232</v>
      </c>
      <c r="Q36">
        <v>260.28599601955682</v>
      </c>
    </row>
    <row r="37" spans="1:17" x14ac:dyDescent="0.25">
      <c r="A37" s="1">
        <f t="shared" si="1"/>
        <v>94.799999999999912</v>
      </c>
      <c r="B37">
        <v>-98.318669485496386</v>
      </c>
      <c r="C37">
        <v>-87.438982090730775</v>
      </c>
      <c r="D37">
        <v>-75.721564842608089</v>
      </c>
      <c r="E37">
        <v>-63.027288910781273</v>
      </c>
      <c r="F37">
        <v>-49.19583246696449</v>
      </c>
      <c r="G37">
        <v>-34.042751539782827</v>
      </c>
      <c r="H37">
        <v>-17.356095704178401</v>
      </c>
      <c r="I37">
        <v>1.1075340495503589</v>
      </c>
      <c r="J37">
        <v>21.627617406606429</v>
      </c>
      <c r="K37">
        <v>44.525207489787128</v>
      </c>
      <c r="L37">
        <v>70.169505777000722</v>
      </c>
      <c r="M37">
        <v>98.985807997302629</v>
      </c>
      <c r="N37">
        <v>131.4651999257772</v>
      </c>
      <c r="O37">
        <v>168.1765037447488</v>
      </c>
      <c r="P37">
        <v>209.78114196507539</v>
      </c>
      <c r="Q37">
        <v>257.05181585706862</v>
      </c>
    </row>
    <row r="38" spans="1:17" x14ac:dyDescent="0.25">
      <c r="A38" s="1">
        <f t="shared" si="1"/>
        <v>96.599999999999909</v>
      </c>
      <c r="B38">
        <v>-101.0571260055217</v>
      </c>
      <c r="C38">
        <v>-90.198239842056054</v>
      </c>
      <c r="D38">
        <v>-78.502469753060552</v>
      </c>
      <c r="E38">
        <v>-65.8308059513286</v>
      </c>
      <c r="F38">
        <v>-52.023063965704672</v>
      </c>
      <c r="G38">
        <v>-36.894958114895147</v>
      </c>
      <c r="H38">
        <v>-20.23472023013311</v>
      </c>
      <c r="I38">
        <v>-1.7991610636297519</v>
      </c>
      <c r="J38">
        <v>18.69095763874671</v>
      </c>
      <c r="K38">
        <v>41.55641095972495</v>
      </c>
      <c r="L38">
        <v>67.166079814739902</v>
      </c>
      <c r="M38">
        <v>95.944889703860241</v>
      </c>
      <c r="N38">
        <v>128.38349779454359</v>
      </c>
      <c r="O38">
        <v>165.0502285569525</v>
      </c>
      <c r="P38">
        <v>206.60592435159779</v>
      </c>
      <c r="Q38">
        <v>253.8226071198344</v>
      </c>
    </row>
    <row r="39" spans="1:17" x14ac:dyDescent="0.25">
      <c r="A39" s="1">
        <f t="shared" si="1"/>
        <v>98.399999999999906</v>
      </c>
      <c r="B39">
        <v>-103.79143209729931</v>
      </c>
      <c r="C39">
        <v>-92.953306146597626</v>
      </c>
      <c r="D39">
        <v>-81.279141001304424</v>
      </c>
      <c r="E39">
        <v>-68.630045845577385</v>
      </c>
      <c r="F39">
        <v>-54.845973480111738</v>
      </c>
      <c r="G39">
        <v>-39.742796412125877</v>
      </c>
      <c r="H39">
        <v>-23.10892860798478</v>
      </c>
      <c r="I39">
        <v>-4.7013904371515691</v>
      </c>
      <c r="J39">
        <v>15.75881509624803</v>
      </c>
      <c r="K39">
        <v>38.592185241389537</v>
      </c>
      <c r="L39">
        <v>64.167280598104313</v>
      </c>
      <c r="M39">
        <v>92.908656732720289</v>
      </c>
      <c r="N39">
        <v>125.3065425584323</v>
      </c>
      <c r="O39">
        <v>161.9287652566444</v>
      </c>
      <c r="P39">
        <v>203.43558754568181</v>
      </c>
      <c r="Q39">
        <v>250.59835264921</v>
      </c>
    </row>
    <row r="40" spans="1:17" x14ac:dyDescent="0.25">
      <c r="A40" s="1">
        <f t="shared" si="1"/>
        <v>100.1999999999999</v>
      </c>
      <c r="B40">
        <v>-106.5215895142007</v>
      </c>
      <c r="C40">
        <v>-95.704183255593492</v>
      </c>
      <c r="D40">
        <v>-84.051581386647058</v>
      </c>
      <c r="E40">
        <v>-71.425011994478282</v>
      </c>
      <c r="F40">
        <v>-57.664565070029127</v>
      </c>
      <c r="G40">
        <v>-42.586271211467754</v>
      </c>
      <c r="H40">
        <v>-25.97872640350376</v>
      </c>
      <c r="I40">
        <v>-7.5991604929653302</v>
      </c>
      <c r="J40">
        <v>12.831182425356159</v>
      </c>
      <c r="K40">
        <v>35.632521967872989</v>
      </c>
      <c r="L40">
        <v>61.17309865938514</v>
      </c>
      <c r="M40">
        <v>89.877098420771702</v>
      </c>
      <c r="N40">
        <v>122.23432225661089</v>
      </c>
      <c r="O40">
        <v>158.81210047433629</v>
      </c>
      <c r="P40">
        <v>200.27011664856579</v>
      </c>
      <c r="Q40">
        <v>247.3790358855718</v>
      </c>
    </row>
    <row r="41" spans="1:17" x14ac:dyDescent="0.25">
      <c r="A41" s="1">
        <f t="shared" si="1"/>
        <v>101.9999999999999</v>
      </c>
      <c r="B41">
        <v>-109.24759949640379</v>
      </c>
      <c r="C41">
        <v>-98.450872908542024</v>
      </c>
      <c r="D41">
        <v>-86.819793196924934</v>
      </c>
      <c r="E41">
        <v>-74.215707286655956</v>
      </c>
      <c r="F41">
        <v>-60.478842281067053</v>
      </c>
      <c r="G41">
        <v>-45.425386775805201</v>
      </c>
      <c r="H41">
        <v>-28.844118661604721</v>
      </c>
      <c r="I41">
        <v>-10.492477127653959</v>
      </c>
      <c r="J41">
        <v>9.9080528028383519</v>
      </c>
      <c r="K41">
        <v>32.677413308450873</v>
      </c>
      <c r="L41">
        <v>58.183525073078052</v>
      </c>
      <c r="M41">
        <v>86.850204653323857</v>
      </c>
      <c r="N41">
        <v>119.1668254828996</v>
      </c>
      <c r="O41">
        <v>155.7002214012459</v>
      </c>
      <c r="P41">
        <v>197.10949732785491</v>
      </c>
      <c r="Q41">
        <v>244.1646408407</v>
      </c>
    </row>
    <row r="42" spans="1:17" x14ac:dyDescent="0.25">
      <c r="A42" s="1">
        <f t="shared" si="1"/>
        <v>103.7999999999999</v>
      </c>
      <c r="B42">
        <v>-111.9694627567286</v>
      </c>
      <c r="C42">
        <v>-101.1933763200031</v>
      </c>
      <c r="D42">
        <v>-89.58377819642044</v>
      </c>
      <c r="E42">
        <v>-77.002134087601092</v>
      </c>
      <c r="F42">
        <v>-63.288808135240977</v>
      </c>
      <c r="G42">
        <v>-48.260146843182561</v>
      </c>
      <c r="H42">
        <v>-31.705109900442949</v>
      </c>
      <c r="I42">
        <v>-13.38134570857429</v>
      </c>
      <c r="J42">
        <v>6.9894199375602142</v>
      </c>
      <c r="K42">
        <v>29.726851967615119</v>
      </c>
      <c r="L42">
        <v>55.198551452080373</v>
      </c>
      <c r="M42">
        <v>83.827965857142516</v>
      </c>
      <c r="N42">
        <v>116.1040413752782</v>
      </c>
      <c r="O42">
        <v>152.59311577485749</v>
      </c>
      <c r="P42">
        <v>193.95371579865991</v>
      </c>
      <c r="Q42">
        <v>240.95515207394971</v>
      </c>
    </row>
    <row r="43" spans="1:17" x14ac:dyDescent="0.25">
      <c r="A43" s="1">
        <f t="shared" si="1"/>
        <v>105.59999999999989</v>
      </c>
      <c r="B43">
        <v>-114.68717946653111</v>
      </c>
      <c r="C43">
        <v>-103.9316941663445</v>
      </c>
      <c r="D43">
        <v>-92.343537613599636</v>
      </c>
      <c r="E43">
        <v>-79.784294228546969</v>
      </c>
      <c r="F43">
        <v>-66.094465121144538</v>
      </c>
      <c r="G43">
        <v>-51.090554618442432</v>
      </c>
      <c r="H43">
        <v>-34.56170410470159</v>
      </c>
      <c r="I43">
        <v>-16.265771068992009</v>
      </c>
      <c r="J43">
        <v>4.0752780732846494</v>
      </c>
      <c r="K43">
        <v>26.780831185565859</v>
      </c>
      <c r="L43">
        <v>52.21816994560843</v>
      </c>
      <c r="M43">
        <v>80.810372995492102</v>
      </c>
      <c r="N43">
        <v>113.0459596077161</v>
      </c>
      <c r="O43">
        <v>149.49077186715689</v>
      </c>
      <c r="P43">
        <v>190.80275880780059</v>
      </c>
      <c r="Q43">
        <v>237.7505546719195</v>
      </c>
    </row>
    <row r="44" spans="1:17" x14ac:dyDescent="0.25">
      <c r="A44" s="1">
        <f t="shared" si="1"/>
        <v>107.39999999999989</v>
      </c>
      <c r="B44">
        <v>-117.4007492417059</v>
      </c>
      <c r="C44">
        <v>-106.6658265724954</v>
      </c>
      <c r="D44">
        <v>-95.099072128745249</v>
      </c>
      <c r="E44">
        <v>-82.562188995117936</v>
      </c>
      <c r="F44">
        <v>-68.895815183757676</v>
      </c>
      <c r="G44">
        <v>-53.916612764349424</v>
      </c>
      <c r="H44">
        <v>-37.41390471819841</v>
      </c>
      <c r="I44">
        <v>-19.14575750235392</v>
      </c>
      <c r="J44">
        <v>1.165621992533973</v>
      </c>
      <c r="K44">
        <v>23.83934473998772</v>
      </c>
      <c r="L44">
        <v>49.242373238642713</v>
      </c>
      <c r="M44">
        <v>77.797417564976456</v>
      </c>
      <c r="N44">
        <v>109.99257038409939</v>
      </c>
      <c r="O44">
        <v>146.39317847529469</v>
      </c>
      <c r="P44">
        <v>187.65661362080471</v>
      </c>
      <c r="Q44">
        <v>234.5508342313268</v>
      </c>
    </row>
    <row r="45" spans="1:17" x14ac:dyDescent="0.25">
      <c r="A45" s="1">
        <f t="shared" si="1"/>
        <v>109.19999999999989</v>
      </c>
      <c r="B45">
        <v>-120.1101711288061</v>
      </c>
      <c r="C45">
        <v>-109.39577309872401</v>
      </c>
      <c r="D45">
        <v>-97.850381861509248</v>
      </c>
      <c r="E45">
        <v>-85.335819115781888</v>
      </c>
      <c r="F45">
        <v>-71.692859713932918</v>
      </c>
      <c r="G45">
        <v>-56.738323392252227</v>
      </c>
      <c r="H45">
        <v>-40.261714635877922</v>
      </c>
      <c r="I45">
        <v>-22.02130875577754</v>
      </c>
      <c r="J45">
        <v>-1.7395529785796711</v>
      </c>
      <c r="K45">
        <v>20.902386948998199</v>
      </c>
      <c r="L45">
        <v>46.27115455277071</v>
      </c>
      <c r="M45">
        <v>74.789091594025592</v>
      </c>
      <c r="N45">
        <v>106.9438644340796</v>
      </c>
      <c r="O45">
        <v>143.30032491447761</v>
      </c>
      <c r="P45">
        <v>184.51526801147691</v>
      </c>
      <c r="Q45">
        <v>231.35597684483631</v>
      </c>
    </row>
    <row r="46" spans="1:17" x14ac:dyDescent="0.25">
      <c r="A46" s="1">
        <f t="shared" si="1"/>
        <v>110.99999999999989</v>
      </c>
      <c r="B46">
        <v>-122.81544359129811</v>
      </c>
      <c r="C46">
        <v>-112.1215327274635</v>
      </c>
      <c r="D46">
        <v>-100.5974663584192</v>
      </c>
      <c r="E46">
        <v>-88.105184750152134</v>
      </c>
      <c r="F46">
        <v>-74.485599537614704</v>
      </c>
      <c r="G46">
        <v>-59.555688052351677</v>
      </c>
      <c r="H46">
        <v>-43.105136195268813</v>
      </c>
      <c r="I46">
        <v>-24.89242802285073</v>
      </c>
      <c r="J46">
        <v>-4.6402509646634957</v>
      </c>
      <c r="K46">
        <v>17.9699526751455</v>
      </c>
      <c r="L46">
        <v>43.304507648287583</v>
      </c>
      <c r="M46">
        <v>71.785387642871186</v>
      </c>
      <c r="N46">
        <v>103.8998330106684</v>
      </c>
      <c r="O46">
        <v>140.21220101289131</v>
      </c>
      <c r="P46">
        <v>181.37871025381861</v>
      </c>
      <c r="Q46">
        <v>228.1659690895944</v>
      </c>
    </row>
    <row r="47" spans="1:17" x14ac:dyDescent="0.25">
      <c r="A47" s="1">
        <f t="shared" si="1"/>
        <v>112.79999999999988</v>
      </c>
      <c r="B47">
        <v>-125.51656449594959</v>
      </c>
      <c r="C47">
        <v>-114.8431038501917</v>
      </c>
      <c r="D47">
        <v>-103.34032458035</v>
      </c>
      <c r="E47">
        <v>-90.87028547715714</v>
      </c>
      <c r="F47">
        <v>-77.274034904819587</v>
      </c>
      <c r="G47">
        <v>-62.368707723611458</v>
      </c>
      <c r="H47">
        <v>-45.944171167454492</v>
      </c>
      <c r="I47">
        <v>-27.759117935801719</v>
      </c>
      <c r="J47">
        <v>-7.5364755345659544</v>
      </c>
      <c r="K47">
        <v>15.042037330367011</v>
      </c>
      <c r="L47">
        <v>40.342426827449572</v>
      </c>
      <c r="M47">
        <v>68.786298804888332</v>
      </c>
      <c r="N47">
        <v>100.8604678894343</v>
      </c>
      <c r="O47">
        <v>137.1287971084887</v>
      </c>
      <c r="P47">
        <v>178.24692911610691</v>
      </c>
      <c r="Q47">
        <v>224.98079801825429</v>
      </c>
    </row>
    <row r="48" spans="1:17" x14ac:dyDescent="0.25">
      <c r="A48" s="1">
        <f t="shared" si="1"/>
        <v>114.59999999999988</v>
      </c>
      <c r="B48">
        <v>-128.21353109936879</v>
      </c>
      <c r="C48">
        <v>-117.56048425439219</v>
      </c>
      <c r="D48">
        <v>-106.07895488999959</v>
      </c>
      <c r="E48">
        <v>-93.631120283127956</v>
      </c>
      <c r="F48">
        <v>-80.058165478438355</v>
      </c>
      <c r="G48">
        <v>-65.177382803384532</v>
      </c>
      <c r="H48">
        <v>-48.778820747641589</v>
      </c>
      <c r="I48">
        <v>-30.62138055713687</v>
      </c>
      <c r="J48">
        <v>-10.42822969422205</v>
      </c>
      <c r="K48">
        <v>12.118636881784489</v>
      </c>
      <c r="L48">
        <v>37.384906938742027</v>
      </c>
      <c r="M48">
        <v>65.791818709149055</v>
      </c>
      <c r="N48">
        <v>97.825761369131541</v>
      </c>
      <c r="O48">
        <v>134.0501040474573</v>
      </c>
      <c r="P48">
        <v>175.11991385692971</v>
      </c>
      <c r="Q48">
        <v>221.8004511522679</v>
      </c>
    </row>
    <row r="49" spans="1:17" x14ac:dyDescent="0.25">
      <c r="A49" s="1">
        <f t="shared" si="1"/>
        <v>116.39999999999988</v>
      </c>
      <c r="B49">
        <v>-130.9063400346698</v>
      </c>
      <c r="C49">
        <v>-120.2736711105766</v>
      </c>
      <c r="D49">
        <v>-108.8133550393526</v>
      </c>
      <c r="E49">
        <v>-96.387687549792645</v>
      </c>
      <c r="F49">
        <v>-82.837990322856214</v>
      </c>
      <c r="G49">
        <v>-67.981713096759577</v>
      </c>
      <c r="H49">
        <v>-51.609085545339823</v>
      </c>
      <c r="I49">
        <v>-33.479217370770087</v>
      </c>
      <c r="J49">
        <v>-13.31551587885839</v>
      </c>
      <c r="K49">
        <v>9.1997478582859458</v>
      </c>
      <c r="L49">
        <v>34.431943382095923</v>
      </c>
      <c r="M49">
        <v>62.801941524104429</v>
      </c>
      <c r="N49">
        <v>94.795706273659107</v>
      </c>
      <c r="O49">
        <v>130.97611318423989</v>
      </c>
      <c r="P49">
        <v>171.99765422302471</v>
      </c>
      <c r="Q49">
        <v>218.62491647726389</v>
      </c>
    </row>
    <row r="50" spans="1:17" x14ac:dyDescent="0.25">
      <c r="A50" s="1">
        <f t="shared" si="1"/>
        <v>118.19999999999987</v>
      </c>
      <c r="B50">
        <v>-133.59498729826939</v>
      </c>
      <c r="C50">
        <v>-122.98266095938</v>
      </c>
      <c r="D50">
        <v>-111.5435221571534</v>
      </c>
      <c r="E50">
        <v>-99.13998504220946</v>
      </c>
      <c r="F50">
        <v>-85.613507892431954</v>
      </c>
      <c r="G50">
        <v>-70.781697805678292</v>
      </c>
      <c r="H50">
        <v>-54.434965574215788</v>
      </c>
      <c r="I50">
        <v>-36.332629272718009</v>
      </c>
      <c r="J50">
        <v>-16.19833594464361</v>
      </c>
      <c r="K50">
        <v>6.2853673577954474</v>
      </c>
      <c r="L50">
        <v>31.483532114941259</v>
      </c>
      <c r="M50">
        <v>59.816661962269883</v>
      </c>
      <c r="N50">
        <v>91.770295955207331</v>
      </c>
      <c r="O50">
        <v>127.9068163829519</v>
      </c>
      <c r="P50">
        <v>168.88014044874939</v>
      </c>
      <c r="Q50">
        <v>215.4541824403214</v>
      </c>
    </row>
    <row r="51" spans="1:17" x14ac:dyDescent="0.25">
      <c r="A51" s="1">
        <f t="shared" si="1"/>
        <v>119.99999999999987</v>
      </c>
      <c r="B51">
        <v>-136.2794682367865</v>
      </c>
      <c r="C51">
        <v>-125.6874496987069</v>
      </c>
      <c r="D51">
        <v>-114.2694527363704</v>
      </c>
      <c r="E51">
        <v>-101.88800989662541</v>
      </c>
      <c r="F51">
        <v>-88.384716019830591</v>
      </c>
      <c r="G51">
        <v>-73.577335517825617</v>
      </c>
      <c r="H51">
        <v>-57.256460241629817</v>
      </c>
      <c r="I51">
        <v>-39.181616561379528</v>
      </c>
      <c r="J51">
        <v>-19.076691159813649</v>
      </c>
      <c r="K51">
        <v>3.3754930551895792</v>
      </c>
      <c r="L51">
        <v>28.539669659041859</v>
      </c>
      <c r="M51">
        <v>56.835975285842132</v>
      </c>
      <c r="N51">
        <v>88.749524298505349</v>
      </c>
      <c r="O51">
        <v>124.842206020088</v>
      </c>
      <c r="P51">
        <v>165.76736325705309</v>
      </c>
      <c r="Q51">
        <v>212.28823794898531</v>
      </c>
    </row>
    <row r="52" spans="1:17" x14ac:dyDescent="0.25">
      <c r="A5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Lookup</vt:lpstr>
      <vt:lpstr>Relative Humidity Table </vt:lpstr>
      <vt:lpstr>Enthalpy Table</vt:lpstr>
      <vt:lpstr>Specific Volume Table</vt:lpstr>
      <vt:lpstr>Wet Bulb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Elyjah Toledo</cp:lastModifiedBy>
  <dcterms:created xsi:type="dcterms:W3CDTF">2026-08-17T17:53:48Z</dcterms:created>
  <dcterms:modified xsi:type="dcterms:W3CDTF">2026-08-18T20:11:46Z</dcterms:modified>
</cp:coreProperties>
</file>